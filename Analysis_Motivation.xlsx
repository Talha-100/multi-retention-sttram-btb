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talhaahmed/Desktop/L3-Project/multi-retention-sttram-btb/"/>
    </mc:Choice>
  </mc:AlternateContent>
  <xr:revisionPtr revIDLastSave="0" documentId="13_ncr:1_{058990CE-9E1E-AF41-AA24-8D1000B87E9A}" xr6:coauthVersionLast="47" xr6:coauthVersionMax="47" xr10:uidLastSave="{00000000-0000-0000-0000-000000000000}"/>
  <bookViews>
    <workbookView xWindow="160" yWindow="660" windowWidth="38080" windowHeight="190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V12" i="1" l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8" i="1"/>
  <c r="V9" i="1"/>
  <c r="V10" i="1"/>
  <c r="V11" i="1"/>
</calcChain>
</file>

<file path=xl/sharedStrings.xml><?xml version="1.0" encoding="utf-8"?>
<sst xmlns="http://schemas.openxmlformats.org/spreadsheetml/2006/main" count="714" uniqueCount="74">
  <si>
    <t>CONVENTIONAL BTB</t>
  </si>
  <si>
    <t>STTRAM_BTB</t>
  </si>
  <si>
    <t>SRAM_BTB</t>
  </si>
  <si>
    <t>Hit Count Buckets</t>
  </si>
  <si>
    <t>Benchmarks</t>
  </si>
  <si>
    <t>Expiry_decision</t>
  </si>
  <si>
    <t>RT</t>
  </si>
  <si>
    <t>IPC</t>
  </si>
  <si>
    <t>MPKI</t>
  </si>
  <si>
    <t>Pred_Accuracy (%)</t>
  </si>
  <si>
    <t>Wr Latency</t>
  </si>
  <si>
    <t>Lifetime</t>
  </si>
  <si>
    <t>1 hit</t>
  </si>
  <si>
    <t>2 hits</t>
  </si>
  <si>
    <t>4 hits</t>
  </si>
  <si>
    <t>Client001</t>
  </si>
  <si>
    <t>Refresh</t>
  </si>
  <si>
    <t>1ms</t>
  </si>
  <si>
    <t>&lt;= 1ms</t>
  </si>
  <si>
    <t>10ms</t>
  </si>
  <si>
    <t>&gt; 1ms &amp; &lt;=10ms</t>
  </si>
  <si>
    <t>100ms</t>
  </si>
  <si>
    <t>&gt; 10ms &amp; &lt;= 100ms</t>
  </si>
  <si>
    <t>1s</t>
  </si>
  <si>
    <t xml:space="preserve">&gt; 100ms </t>
  </si>
  <si>
    <t>WriteBack</t>
  </si>
  <si>
    <t>Total hits</t>
  </si>
  <si>
    <t>Client002</t>
  </si>
  <si>
    <t>Client003</t>
  </si>
  <si>
    <t>Client004</t>
  </si>
  <si>
    <t>Client005</t>
  </si>
  <si>
    <t>Client006</t>
  </si>
  <si>
    <t>Client007</t>
  </si>
  <si>
    <t>Client008</t>
  </si>
  <si>
    <t>Server001</t>
  </si>
  <si>
    <t>Server002</t>
  </si>
  <si>
    <t>Server003</t>
  </si>
  <si>
    <t>Server004</t>
  </si>
  <si>
    <t>Server009</t>
  </si>
  <si>
    <t>Server010</t>
  </si>
  <si>
    <t>Server011</t>
  </si>
  <si>
    <t>Server012</t>
  </si>
  <si>
    <t>Server013</t>
  </si>
  <si>
    <t>Server014</t>
  </si>
  <si>
    <t>Server015</t>
  </si>
  <si>
    <t>Server016</t>
  </si>
  <si>
    <t>Server017</t>
  </si>
  <si>
    <t>Server018</t>
  </si>
  <si>
    <t>Server019</t>
  </si>
  <si>
    <t>Server020</t>
  </si>
  <si>
    <t>Server021</t>
  </si>
  <si>
    <t>Server022</t>
  </si>
  <si>
    <t>Server023</t>
  </si>
  <si>
    <t>Server024</t>
  </si>
  <si>
    <t>Server025</t>
  </si>
  <si>
    <t>Server026</t>
  </si>
  <si>
    <t>Server027</t>
  </si>
  <si>
    <t>Server028</t>
  </si>
  <si>
    <t>Server029</t>
  </si>
  <si>
    <t>Server030</t>
  </si>
  <si>
    <t>Server031</t>
  </si>
  <si>
    <t>Server032</t>
  </si>
  <si>
    <t>Server033</t>
  </si>
  <si>
    <t>Server034</t>
  </si>
  <si>
    <t>Server035</t>
  </si>
  <si>
    <t>Server036</t>
  </si>
  <si>
    <t>Server037</t>
  </si>
  <si>
    <t>Server038</t>
  </si>
  <si>
    <t>Server039</t>
  </si>
  <si>
    <t>5+ hits</t>
  </si>
  <si>
    <t>3 hits</t>
  </si>
  <si>
    <t>Clock Cycles offset</t>
  </si>
  <si>
    <t>Energy (mJ)</t>
  </si>
  <si>
    <t>REF/WB 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</si>
</sst>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  <charset val="1"/>
    </font>
    <font>
      <b/>
      <sz val="20"/>
      <name val="Arial"/>
      <family val="2"/>
      <charset val="1"/>
    </font>
    <font>
      <b/>
      <sz val="10"/>
      <name val="Arial"/>
      <family val="2"/>
      <charset val="1"/>
    </font>
    <font>
      <b/>
      <sz val="10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E0C2CD"/>
        <bgColor rgb="FFDDDDDD"/>
      </patternFill>
    </fill>
    <fill>
      <patternFill patternType="solid">
        <fgColor rgb="FFFFFFD7"/>
        <bgColor rgb="FFFFFFFF"/>
      </patternFill>
    </fill>
    <fill>
      <patternFill patternType="solid">
        <fgColor rgb="FFDDDDDD"/>
        <bgColor rgb="FFE0C2CD"/>
      </patternFill>
    </fill>
    <fill>
      <patternFill patternType="solid">
        <fgColor rgb="FFB4C7DC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0C2CD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/>
    <xf numFmtId="0" fontId="2" fillId="4" borderId="1" xfId="0" applyFont="1" applyFill="1" applyBorder="1"/>
    <xf numFmtId="0" fontId="2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0" fillId="3" borderId="1" xfId="0" applyFill="1" applyBorder="1"/>
    <xf numFmtId="1" fontId="0" fillId="5" borderId="1" xfId="0" applyNumberFormat="1" applyFill="1" applyBorder="1"/>
    <xf numFmtId="1" fontId="0" fillId="5" borderId="2" xfId="0" applyNumberFormat="1" applyFill="1" applyBorder="1"/>
    <xf numFmtId="0" fontId="2" fillId="6" borderId="2" xfId="0" applyFont="1" applyFill="1" applyBorder="1"/>
    <xf numFmtId="0" fontId="2" fillId="6" borderId="5" xfId="0" applyFont="1" applyFill="1" applyBorder="1"/>
    <xf numFmtId="1" fontId="0" fillId="5" borderId="5" xfId="0" applyNumberFormat="1" applyFill="1" applyBorder="1"/>
    <xf numFmtId="0" fontId="2" fillId="6" borderId="7" xfId="0" applyFont="1" applyFill="1" applyBorder="1"/>
    <xf numFmtId="1" fontId="0" fillId="5" borderId="7" xfId="0" applyNumberFormat="1" applyFill="1" applyBorder="1"/>
    <xf numFmtId="0" fontId="2" fillId="0" borderId="9" xfId="0" applyFont="1" applyBorder="1"/>
    <xf numFmtId="0" fontId="2" fillId="0" borderId="6" xfId="0" applyFont="1" applyBorder="1"/>
    <xf numFmtId="0" fontId="2" fillId="0" borderId="10" xfId="0" applyFont="1" applyBorder="1"/>
    <xf numFmtId="1" fontId="0" fillId="5" borderId="12" xfId="0" applyNumberFormat="1" applyFill="1" applyBorder="1"/>
    <xf numFmtId="1" fontId="0" fillId="5" borderId="14" xfId="0" applyNumberFormat="1" applyFill="1" applyBorder="1"/>
    <xf numFmtId="1" fontId="0" fillId="5" borderId="16" xfId="0" applyNumberFormat="1" applyFill="1" applyBorder="1"/>
    <xf numFmtId="1" fontId="0" fillId="5" borderId="18" xfId="0" applyNumberFormat="1" applyFill="1" applyBorder="1"/>
    <xf numFmtId="0" fontId="0" fillId="5" borderId="14" xfId="0" applyFill="1" applyBorder="1"/>
    <xf numFmtId="0" fontId="0" fillId="3" borderId="14" xfId="0" applyFill="1" applyBorder="1"/>
    <xf numFmtId="0" fontId="2" fillId="3" borderId="5" xfId="0" applyFont="1" applyFill="1" applyBorder="1"/>
    <xf numFmtId="0" fontId="0" fillId="3" borderId="5" xfId="0" applyFill="1" applyBorder="1"/>
    <xf numFmtId="0" fontId="0" fillId="3" borderId="16" xfId="0" applyFill="1" applyBorder="1"/>
    <xf numFmtId="0" fontId="2" fillId="5" borderId="2" xfId="0" applyFont="1" applyFill="1" applyBorder="1"/>
    <xf numFmtId="0" fontId="0" fillId="5" borderId="2" xfId="0" applyFill="1" applyBorder="1"/>
    <xf numFmtId="0" fontId="0" fillId="5" borderId="12" xfId="0" applyFill="1" applyBorder="1"/>
    <xf numFmtId="0" fontId="2" fillId="0" borderId="1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3" borderId="8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2" xfId="0" applyFont="1" applyFill="1" applyBorder="1"/>
    <xf numFmtId="0" fontId="0" fillId="3" borderId="22" xfId="0" applyFill="1" applyBorder="1"/>
    <xf numFmtId="0" fontId="0" fillId="3" borderId="23" xfId="0" applyFill="1" applyBorder="1"/>
    <xf numFmtId="0" fontId="3" fillId="8" borderId="24" xfId="0" applyFont="1" applyFill="1" applyBorder="1"/>
    <xf numFmtId="0" fontId="4" fillId="8" borderId="24" xfId="0" applyFont="1" applyFill="1" applyBorder="1"/>
    <xf numFmtId="0" fontId="4" fillId="8" borderId="26" xfId="0" applyFont="1" applyFill="1" applyBorder="1"/>
    <xf numFmtId="0" fontId="3" fillId="8" borderId="27" xfId="0" applyFont="1" applyFill="1" applyBorder="1"/>
    <xf numFmtId="0" fontId="4" fillId="8" borderId="27" xfId="0" applyFont="1" applyFill="1" applyBorder="1"/>
    <xf numFmtId="0" fontId="4" fillId="8" borderId="29" xfId="0" applyFont="1" applyFill="1" applyBorder="1"/>
    <xf numFmtId="0" fontId="3" fillId="9" borderId="27" xfId="0" applyFont="1" applyFill="1" applyBorder="1"/>
    <xf numFmtId="0" fontId="4" fillId="9" borderId="27" xfId="0" applyFont="1" applyFill="1" applyBorder="1"/>
    <xf numFmtId="0" fontId="4" fillId="9" borderId="29" xfId="0" applyFont="1" applyFill="1" applyBorder="1"/>
    <xf numFmtId="0" fontId="4" fillId="8" borderId="31" xfId="0" applyFont="1" applyFill="1" applyBorder="1"/>
    <xf numFmtId="0" fontId="4" fillId="8" borderId="33" xfId="0" applyFont="1" applyFill="1" applyBorder="1"/>
    <xf numFmtId="0" fontId="4" fillId="9" borderId="33" xfId="0" applyFont="1" applyFill="1" applyBorder="1"/>
    <xf numFmtId="0" fontId="3" fillId="9" borderId="34" xfId="0" applyFont="1" applyFill="1" applyBorder="1"/>
    <xf numFmtId="0" fontId="4" fillId="9" borderId="34" xfId="0" applyFont="1" applyFill="1" applyBorder="1"/>
    <xf numFmtId="0" fontId="4" fillId="9" borderId="35" xfId="0" applyFont="1" applyFill="1" applyBorder="1"/>
    <xf numFmtId="0" fontId="4" fillId="9" borderId="38" xfId="0" applyFont="1" applyFill="1" applyBorder="1"/>
    <xf numFmtId="0" fontId="3" fillId="7" borderId="30" xfId="0" applyFont="1" applyFill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3" fillId="7" borderId="32" xfId="0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0" fontId="3" fillId="9" borderId="28" xfId="0" applyFont="1" applyFill="1" applyBorder="1" applyAlignment="1">
      <alignment horizontal="center" vertical="center"/>
    </xf>
    <xf numFmtId="0" fontId="3" fillId="7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E0C2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D1B239-82BB-784F-A112-0E9FE35EDE0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7fed454-84c1-4499-a912-b88e7b34617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V351"/>
  <sheetViews>
    <sheetView tabSelected="1" zoomScaleNormal="100" workbookViewId="0">
      <selection activeCell="L25" sqref="L25"/>
    </sheetView>
  </sheetViews>
  <sheetFormatPr baseColWidth="10" defaultColWidth="11.5" defaultRowHeight="13" x14ac:dyDescent="0.15"/>
  <cols>
    <col min="1" max="1" width="12" customWidth="1"/>
    <col min="2" max="2" width="15.1640625" customWidth="1"/>
    <col min="3" max="3" width="16.5" customWidth="1"/>
    <col min="7" max="8" width="19.1640625" customWidth="1"/>
    <col min="9" max="9" width="19.33203125" customWidth="1"/>
    <col min="12" max="12" width="17.1640625" bestFit="1" customWidth="1"/>
    <col min="15" max="15" width="11.5" bestFit="1" customWidth="1"/>
    <col min="16" max="16" width="17.5" bestFit="1" customWidth="1"/>
    <col min="17" max="22" width="9.1640625" customWidth="1"/>
  </cols>
  <sheetData>
    <row r="1" spans="2:22" ht="25" x14ac:dyDescent="0.25">
      <c r="B1" s="37" t="s">
        <v>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</row>
    <row r="5" spans="2:22" x14ac:dyDescent="0.15">
      <c r="B5" s="1" t="s">
        <v>1</v>
      </c>
      <c r="O5" s="1" t="s">
        <v>2</v>
      </c>
    </row>
    <row r="6" spans="2:22" ht="14" thickBot="1" x14ac:dyDescent="0.2">
      <c r="Q6" s="41" t="s">
        <v>3</v>
      </c>
      <c r="R6" s="42"/>
      <c r="S6" s="42"/>
      <c r="T6" s="42"/>
      <c r="U6" s="42"/>
      <c r="V6" s="43"/>
    </row>
    <row r="7" spans="2:22" ht="14" thickBot="1" x14ac:dyDescent="0.2">
      <c r="B7" s="15" t="s">
        <v>4</v>
      </c>
      <c r="C7" s="16" t="s">
        <v>5</v>
      </c>
      <c r="D7" s="16" t="s">
        <v>6</v>
      </c>
      <c r="E7" s="16" t="s">
        <v>7</v>
      </c>
      <c r="F7" s="16" t="s">
        <v>8</v>
      </c>
      <c r="G7" s="16" t="s">
        <v>9</v>
      </c>
      <c r="H7" s="16" t="s">
        <v>72</v>
      </c>
      <c r="I7" s="17" t="s">
        <v>73</v>
      </c>
      <c r="K7" s="2" t="s">
        <v>10</v>
      </c>
      <c r="L7" s="2" t="s">
        <v>71</v>
      </c>
      <c r="O7" s="15" t="s">
        <v>4</v>
      </c>
      <c r="P7" s="16" t="s">
        <v>11</v>
      </c>
      <c r="Q7" s="16" t="s">
        <v>12</v>
      </c>
      <c r="R7" s="16" t="s">
        <v>13</v>
      </c>
      <c r="S7" s="16" t="s">
        <v>70</v>
      </c>
      <c r="T7" s="16" t="s">
        <v>14</v>
      </c>
      <c r="U7" s="16" t="s">
        <v>69</v>
      </c>
      <c r="V7" s="17" t="s">
        <v>26</v>
      </c>
    </row>
    <row r="8" spans="2:22" x14ac:dyDescent="0.15">
      <c r="B8" s="30" t="s">
        <v>15</v>
      </c>
      <c r="C8" s="33" t="s">
        <v>16</v>
      </c>
      <c r="D8" s="27" t="s">
        <v>17</v>
      </c>
      <c r="E8" s="28">
        <v>1.0185055000000001</v>
      </c>
      <c r="F8" s="28">
        <v>6.6152796030832235</v>
      </c>
      <c r="G8" s="28">
        <v>95.423353236017277</v>
      </c>
      <c r="H8" s="28">
        <v>3.5244785095389863</v>
      </c>
      <c r="I8" s="29">
        <v>6911.5</v>
      </c>
      <c r="K8" s="3" t="s">
        <v>17</v>
      </c>
      <c r="L8" s="4">
        <v>2</v>
      </c>
      <c r="O8" s="30" t="s">
        <v>15</v>
      </c>
      <c r="P8" s="10" t="s">
        <v>18</v>
      </c>
      <c r="Q8" s="9">
        <v>38778</v>
      </c>
      <c r="R8" s="9">
        <v>51</v>
      </c>
      <c r="S8" s="9">
        <v>11</v>
      </c>
      <c r="T8" s="9">
        <v>7</v>
      </c>
      <c r="U8" s="9">
        <v>16</v>
      </c>
      <c r="V8" s="18">
        <f t="shared" ref="V8:V39" si="0">SUM(Q8:U8)</f>
        <v>38863</v>
      </c>
    </row>
    <row r="9" spans="2:22" x14ac:dyDescent="0.15">
      <c r="B9" s="31"/>
      <c r="C9" s="34"/>
      <c r="D9" s="3" t="s">
        <v>19</v>
      </c>
      <c r="E9" s="4">
        <v>1.0187895</v>
      </c>
      <c r="F9" s="4">
        <v>6.6152796030832235</v>
      </c>
      <c r="G9" s="4">
        <v>95.423353236017277</v>
      </c>
      <c r="H9" s="4">
        <v>3.6970552674474084</v>
      </c>
      <c r="I9" s="22">
        <v>0</v>
      </c>
      <c r="K9" s="3" t="s">
        <v>19</v>
      </c>
      <c r="L9" s="4">
        <v>3</v>
      </c>
      <c r="O9" s="31"/>
      <c r="P9" s="5" t="s">
        <v>20</v>
      </c>
      <c r="Q9" s="8">
        <v>3909</v>
      </c>
      <c r="R9" s="8">
        <v>25</v>
      </c>
      <c r="S9" s="8">
        <v>8</v>
      </c>
      <c r="T9" s="8">
        <v>3</v>
      </c>
      <c r="U9" s="8">
        <v>7</v>
      </c>
      <c r="V9" s="19">
        <f t="shared" si="0"/>
        <v>3952</v>
      </c>
    </row>
    <row r="10" spans="2:22" x14ac:dyDescent="0.15">
      <c r="B10" s="31"/>
      <c r="C10" s="34"/>
      <c r="D10" s="3" t="s">
        <v>21</v>
      </c>
      <c r="E10" s="4">
        <v>1.0187895</v>
      </c>
      <c r="F10" s="4">
        <v>6.6152796030832235</v>
      </c>
      <c r="G10" s="4">
        <v>95.423353236017277</v>
      </c>
      <c r="H10" s="4">
        <v>3.922943747447408</v>
      </c>
      <c r="I10" s="22">
        <v>0</v>
      </c>
      <c r="K10" s="3" t="s">
        <v>21</v>
      </c>
      <c r="L10" s="4">
        <v>4</v>
      </c>
      <c r="O10" s="31"/>
      <c r="P10" s="5" t="s">
        <v>22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19">
        <f t="shared" si="0"/>
        <v>0</v>
      </c>
    </row>
    <row r="11" spans="2:22" ht="14" thickBot="1" x14ac:dyDescent="0.2">
      <c r="B11" s="31"/>
      <c r="C11" s="34"/>
      <c r="D11" s="3" t="s">
        <v>23</v>
      </c>
      <c r="E11" s="4">
        <v>1.0187895</v>
      </c>
      <c r="F11" s="4">
        <v>6.6152796030832235</v>
      </c>
      <c r="G11" s="4">
        <v>95.423353236017277</v>
      </c>
      <c r="H11" s="4">
        <v>4.2743258274474085</v>
      </c>
      <c r="I11" s="22">
        <v>0</v>
      </c>
      <c r="K11" s="3" t="s">
        <v>23</v>
      </c>
      <c r="L11" s="4">
        <v>5</v>
      </c>
      <c r="O11" s="32"/>
      <c r="P11" s="11" t="s">
        <v>24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20">
        <f t="shared" si="0"/>
        <v>0</v>
      </c>
    </row>
    <row r="12" spans="2:22" x14ac:dyDescent="0.15">
      <c r="B12" s="31"/>
      <c r="C12" s="35" t="s">
        <v>25</v>
      </c>
      <c r="D12" s="6" t="s">
        <v>17</v>
      </c>
      <c r="E12" s="7">
        <v>1.017806</v>
      </c>
      <c r="F12" s="7">
        <v>6.6387996016720239</v>
      </c>
      <c r="G12" s="7">
        <v>95.423570077414411</v>
      </c>
      <c r="H12" s="7">
        <v>3.5291667524708128</v>
      </c>
      <c r="I12" s="23">
        <v>9493</v>
      </c>
      <c r="O12" s="38" t="s">
        <v>27</v>
      </c>
      <c r="P12" s="13" t="s">
        <v>18</v>
      </c>
      <c r="Q12" s="14">
        <v>443082</v>
      </c>
      <c r="R12" s="14">
        <v>1496</v>
      </c>
      <c r="S12" s="14">
        <v>334</v>
      </c>
      <c r="T12" s="14">
        <v>152</v>
      </c>
      <c r="U12" s="14">
        <v>144</v>
      </c>
      <c r="V12" s="21">
        <f t="shared" si="0"/>
        <v>445208</v>
      </c>
    </row>
    <row r="13" spans="2:22" x14ac:dyDescent="0.15">
      <c r="B13" s="31"/>
      <c r="C13" s="35"/>
      <c r="D13" s="6" t="s">
        <v>19</v>
      </c>
      <c r="E13" s="7">
        <v>1.0187895</v>
      </c>
      <c r="F13" s="7">
        <v>6.6152796030832235</v>
      </c>
      <c r="G13" s="7">
        <v>95.423353236017277</v>
      </c>
      <c r="H13" s="7">
        <v>3.6970552674474084</v>
      </c>
      <c r="I13" s="23">
        <v>0</v>
      </c>
      <c r="O13" s="39"/>
      <c r="P13" s="5" t="s">
        <v>20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19">
        <f t="shared" si="0"/>
        <v>0</v>
      </c>
    </row>
    <row r="14" spans="2:22" x14ac:dyDescent="0.15">
      <c r="B14" s="31"/>
      <c r="C14" s="35"/>
      <c r="D14" s="6" t="s">
        <v>21</v>
      </c>
      <c r="E14" s="7">
        <v>1.0187895</v>
      </c>
      <c r="F14" s="7">
        <v>6.6152796030832235</v>
      </c>
      <c r="G14" s="7">
        <v>95.423353236017277</v>
      </c>
      <c r="H14" s="7">
        <v>3.922943747447408</v>
      </c>
      <c r="I14" s="23">
        <v>0</v>
      </c>
      <c r="O14" s="39"/>
      <c r="P14" s="5" t="s">
        <v>22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19">
        <f t="shared" si="0"/>
        <v>0</v>
      </c>
    </row>
    <row r="15" spans="2:22" ht="14" thickBot="1" x14ac:dyDescent="0.2">
      <c r="B15" s="32"/>
      <c r="C15" s="36"/>
      <c r="D15" s="24" t="s">
        <v>23</v>
      </c>
      <c r="E15" s="25">
        <v>1.0187895</v>
      </c>
      <c r="F15" s="25">
        <v>6.6152796030832235</v>
      </c>
      <c r="G15" s="25">
        <v>95.423353236017277</v>
      </c>
      <c r="H15" s="25">
        <v>4.2743258274474085</v>
      </c>
      <c r="I15" s="26">
        <v>0</v>
      </c>
      <c r="O15" s="40"/>
      <c r="P15" s="11" t="s">
        <v>24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20">
        <f t="shared" si="0"/>
        <v>0</v>
      </c>
    </row>
    <row r="16" spans="2:22" x14ac:dyDescent="0.15">
      <c r="B16" s="30" t="s">
        <v>27</v>
      </c>
      <c r="C16" s="33" t="s">
        <v>16</v>
      </c>
      <c r="D16" s="27" t="s">
        <v>17</v>
      </c>
      <c r="E16" s="28">
        <v>1.0833949999999999</v>
      </c>
      <c r="F16" s="28">
        <v>10.959489780810205</v>
      </c>
      <c r="G16" s="28">
        <v>95.332235207776762</v>
      </c>
      <c r="H16" s="28">
        <v>4.8087138298090508</v>
      </c>
      <c r="I16" s="29">
        <v>0</v>
      </c>
      <c r="O16" s="38" t="s">
        <v>28</v>
      </c>
      <c r="P16" s="13" t="s">
        <v>18</v>
      </c>
      <c r="Q16" s="14">
        <v>476509</v>
      </c>
      <c r="R16" s="14">
        <v>1134</v>
      </c>
      <c r="S16" s="14">
        <v>313</v>
      </c>
      <c r="T16" s="14">
        <v>88</v>
      </c>
      <c r="U16" s="14">
        <v>123</v>
      </c>
      <c r="V16" s="21">
        <f t="shared" si="0"/>
        <v>478167</v>
      </c>
    </row>
    <row r="17" spans="2:22" x14ac:dyDescent="0.15">
      <c r="B17" s="31"/>
      <c r="C17" s="34"/>
      <c r="D17" s="3" t="s">
        <v>19</v>
      </c>
      <c r="E17" s="4">
        <v>1.0833949999999999</v>
      </c>
      <c r="F17" s="4">
        <v>10.959489780810205</v>
      </c>
      <c r="G17" s="4">
        <v>95.332235207776762</v>
      </c>
      <c r="H17" s="4">
        <v>5.01823943980905</v>
      </c>
      <c r="I17" s="22">
        <v>0</v>
      </c>
      <c r="O17" s="39"/>
      <c r="P17" s="5" t="s">
        <v>20</v>
      </c>
      <c r="Q17" s="8">
        <v>1894</v>
      </c>
      <c r="R17" s="8">
        <v>15</v>
      </c>
      <c r="S17" s="8">
        <v>5</v>
      </c>
      <c r="T17" s="8">
        <v>4</v>
      </c>
      <c r="U17" s="8">
        <v>2</v>
      </c>
      <c r="V17" s="19">
        <f t="shared" si="0"/>
        <v>1920</v>
      </c>
    </row>
    <row r="18" spans="2:22" x14ac:dyDescent="0.15">
      <c r="B18" s="31"/>
      <c r="C18" s="34"/>
      <c r="D18" s="3" t="s">
        <v>21</v>
      </c>
      <c r="E18" s="4">
        <v>1.0833949999999999</v>
      </c>
      <c r="F18" s="4">
        <v>10.959489780810205</v>
      </c>
      <c r="G18" s="4">
        <v>95.332235207776762</v>
      </c>
      <c r="H18" s="4">
        <v>5.28762950980905</v>
      </c>
      <c r="I18" s="22">
        <v>0</v>
      </c>
      <c r="O18" s="39"/>
      <c r="P18" s="5" t="s">
        <v>22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19">
        <f t="shared" si="0"/>
        <v>0</v>
      </c>
    </row>
    <row r="19" spans="2:22" ht="14" thickBot="1" x14ac:dyDescent="0.2">
      <c r="B19" s="31"/>
      <c r="C19" s="34"/>
      <c r="D19" s="3" t="s">
        <v>23</v>
      </c>
      <c r="E19" s="4">
        <v>1.0833949999999999</v>
      </c>
      <c r="F19" s="4">
        <v>10.959489780810205</v>
      </c>
      <c r="G19" s="4">
        <v>95.332235207776762</v>
      </c>
      <c r="H19" s="4">
        <v>5.7066807298090518</v>
      </c>
      <c r="I19" s="22">
        <v>0</v>
      </c>
      <c r="O19" s="40"/>
      <c r="P19" s="11" t="s">
        <v>24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20">
        <f t="shared" si="0"/>
        <v>0</v>
      </c>
    </row>
    <row r="20" spans="2:22" x14ac:dyDescent="0.15">
      <c r="B20" s="31"/>
      <c r="C20" s="35" t="s">
        <v>25</v>
      </c>
      <c r="D20" s="6" t="s">
        <v>17</v>
      </c>
      <c r="E20" s="7">
        <v>1.0833949999999999</v>
      </c>
      <c r="F20" s="7">
        <v>10.959489780810205</v>
      </c>
      <c r="G20" s="7">
        <v>95.332235207776762</v>
      </c>
      <c r="H20" s="7">
        <v>4.8087138298090508</v>
      </c>
      <c r="I20" s="23">
        <v>0</v>
      </c>
      <c r="O20" s="38" t="s">
        <v>29</v>
      </c>
      <c r="P20" s="13" t="s">
        <v>18</v>
      </c>
      <c r="Q20" s="14">
        <v>549764</v>
      </c>
      <c r="R20" s="14">
        <v>2094</v>
      </c>
      <c r="S20" s="14">
        <v>629</v>
      </c>
      <c r="T20" s="14">
        <v>216</v>
      </c>
      <c r="U20" s="14">
        <v>322</v>
      </c>
      <c r="V20" s="21">
        <f t="shared" si="0"/>
        <v>553025</v>
      </c>
    </row>
    <row r="21" spans="2:22" x14ac:dyDescent="0.15">
      <c r="B21" s="31"/>
      <c r="C21" s="35"/>
      <c r="D21" s="6" t="s">
        <v>19</v>
      </c>
      <c r="E21" s="7">
        <v>1.0833949999999999</v>
      </c>
      <c r="F21" s="7">
        <v>10.959489780810205</v>
      </c>
      <c r="G21" s="7">
        <v>95.332235207776762</v>
      </c>
      <c r="H21" s="7">
        <v>5.01823943980905</v>
      </c>
      <c r="I21" s="23">
        <v>0</v>
      </c>
      <c r="O21" s="39"/>
      <c r="P21" s="5" t="s">
        <v>20</v>
      </c>
      <c r="Q21" s="8">
        <v>461</v>
      </c>
      <c r="R21" s="8">
        <v>1</v>
      </c>
      <c r="S21" s="8">
        <v>4</v>
      </c>
      <c r="T21" s="8">
        <v>2</v>
      </c>
      <c r="U21" s="8">
        <v>5</v>
      </c>
      <c r="V21" s="19">
        <f t="shared" si="0"/>
        <v>473</v>
      </c>
    </row>
    <row r="22" spans="2:22" x14ac:dyDescent="0.15">
      <c r="B22" s="31"/>
      <c r="C22" s="35"/>
      <c r="D22" s="6" t="s">
        <v>21</v>
      </c>
      <c r="E22" s="7">
        <v>1.0833949999999999</v>
      </c>
      <c r="F22" s="7">
        <v>10.959489780810205</v>
      </c>
      <c r="G22" s="7">
        <v>95.332235207776762</v>
      </c>
      <c r="H22" s="7">
        <v>5.28762950980905</v>
      </c>
      <c r="I22" s="23">
        <v>0</v>
      </c>
      <c r="O22" s="39"/>
      <c r="P22" s="5" t="s">
        <v>22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19">
        <f t="shared" si="0"/>
        <v>0</v>
      </c>
    </row>
    <row r="23" spans="2:22" ht="14" thickBot="1" x14ac:dyDescent="0.2">
      <c r="B23" s="44"/>
      <c r="C23" s="45"/>
      <c r="D23" s="46" t="s">
        <v>23</v>
      </c>
      <c r="E23" s="47">
        <v>1.0833949999999999</v>
      </c>
      <c r="F23" s="47">
        <v>10.959489780810205</v>
      </c>
      <c r="G23" s="47">
        <v>95.332235207776762</v>
      </c>
      <c r="H23" s="47">
        <v>5.7066807298090518</v>
      </c>
      <c r="I23" s="48">
        <v>0</v>
      </c>
      <c r="O23" s="40"/>
      <c r="P23" s="11" t="s">
        <v>24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20">
        <f t="shared" si="0"/>
        <v>0</v>
      </c>
    </row>
    <row r="24" spans="2:22" x14ac:dyDescent="0.15">
      <c r="B24" s="65" t="s">
        <v>28</v>
      </c>
      <c r="C24" s="66" t="s">
        <v>16</v>
      </c>
      <c r="D24" s="49" t="s">
        <v>17</v>
      </c>
      <c r="E24" s="50">
        <v>0.87100699999999998</v>
      </c>
      <c r="F24" s="50">
        <v>10.437909791241804</v>
      </c>
      <c r="G24" s="50">
        <v>95.515702980951659</v>
      </c>
      <c r="H24" s="51">
        <v>4.6441074405376721</v>
      </c>
      <c r="I24" s="58">
        <v>7410</v>
      </c>
      <c r="O24" s="38" t="s">
        <v>30</v>
      </c>
      <c r="P24" s="13" t="s">
        <v>18</v>
      </c>
      <c r="Q24" s="14">
        <v>466846</v>
      </c>
      <c r="R24" s="14">
        <v>1391</v>
      </c>
      <c r="S24" s="14">
        <v>380</v>
      </c>
      <c r="T24" s="14">
        <v>110</v>
      </c>
      <c r="U24" s="14">
        <v>175</v>
      </c>
      <c r="V24" s="21">
        <f t="shared" si="0"/>
        <v>468902</v>
      </c>
    </row>
    <row r="25" spans="2:22" x14ac:dyDescent="0.15">
      <c r="B25" s="67"/>
      <c r="C25" s="68"/>
      <c r="D25" s="52" t="s">
        <v>19</v>
      </c>
      <c r="E25" s="53">
        <v>0.87123200000000001</v>
      </c>
      <c r="F25" s="53">
        <v>10.437909791241804</v>
      </c>
      <c r="G25" s="53">
        <v>95.515702980951659</v>
      </c>
      <c r="H25" s="54">
        <v>4.8363913395064504</v>
      </c>
      <c r="I25" s="59">
        <v>0</v>
      </c>
      <c r="O25" s="39"/>
      <c r="P25" s="5" t="s">
        <v>20</v>
      </c>
      <c r="Q25" s="8">
        <v>1997</v>
      </c>
      <c r="R25" s="8">
        <v>17</v>
      </c>
      <c r="S25" s="8">
        <v>7</v>
      </c>
      <c r="T25" s="8">
        <v>1</v>
      </c>
      <c r="U25" s="8">
        <v>15</v>
      </c>
      <c r="V25" s="19">
        <f t="shared" si="0"/>
        <v>2037</v>
      </c>
    </row>
    <row r="26" spans="2:22" x14ac:dyDescent="0.15">
      <c r="B26" s="67"/>
      <c r="C26" s="68"/>
      <c r="D26" s="52" t="s">
        <v>21</v>
      </c>
      <c r="E26" s="53">
        <v>0.87123200000000001</v>
      </c>
      <c r="F26" s="53">
        <v>10.437909791241804</v>
      </c>
      <c r="G26" s="53">
        <v>95.515702980951659</v>
      </c>
      <c r="H26" s="54">
        <v>5.0879064195064512</v>
      </c>
      <c r="I26" s="59">
        <v>0</v>
      </c>
      <c r="O26" s="39"/>
      <c r="P26" s="5" t="s">
        <v>22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19">
        <f t="shared" si="0"/>
        <v>0</v>
      </c>
    </row>
    <row r="27" spans="2:22" ht="14" thickBot="1" x14ac:dyDescent="0.2">
      <c r="B27" s="67"/>
      <c r="C27" s="68"/>
      <c r="D27" s="52" t="s">
        <v>23</v>
      </c>
      <c r="E27" s="53">
        <v>0.87123200000000001</v>
      </c>
      <c r="F27" s="53">
        <v>10.437909791241804</v>
      </c>
      <c r="G27" s="53">
        <v>95.515702980951659</v>
      </c>
      <c r="H27" s="54">
        <v>5.479152099506452</v>
      </c>
      <c r="I27" s="59">
        <v>0</v>
      </c>
      <c r="O27" s="40"/>
      <c r="P27" s="11" t="s">
        <v>24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20">
        <f t="shared" si="0"/>
        <v>0</v>
      </c>
    </row>
    <row r="28" spans="2:22" x14ac:dyDescent="0.15">
      <c r="B28" s="67"/>
      <c r="C28" s="69" t="s">
        <v>25</v>
      </c>
      <c r="D28" s="55" t="s">
        <v>17</v>
      </c>
      <c r="E28" s="56">
        <v>0.87100700000000009</v>
      </c>
      <c r="F28" s="56">
        <v>10.449519791009603</v>
      </c>
      <c r="G28" s="56">
        <v>95.515619626491741</v>
      </c>
      <c r="H28" s="57">
        <v>4.6439093729672125</v>
      </c>
      <c r="I28" s="60">
        <v>4527.5</v>
      </c>
      <c r="O28" s="38" t="s">
        <v>31</v>
      </c>
      <c r="P28" s="13" t="s">
        <v>18</v>
      </c>
      <c r="Q28" s="14">
        <v>50672</v>
      </c>
      <c r="R28" s="14">
        <v>66</v>
      </c>
      <c r="S28" s="14">
        <v>18</v>
      </c>
      <c r="T28" s="14">
        <v>4</v>
      </c>
      <c r="U28" s="14">
        <v>10</v>
      </c>
      <c r="V28" s="21">
        <f t="shared" si="0"/>
        <v>50770</v>
      </c>
    </row>
    <row r="29" spans="2:22" x14ac:dyDescent="0.15">
      <c r="B29" s="67"/>
      <c r="C29" s="69"/>
      <c r="D29" s="55" t="s">
        <v>19</v>
      </c>
      <c r="E29" s="56">
        <v>0.87123200000000001</v>
      </c>
      <c r="F29" s="56">
        <v>10.437909791241804</v>
      </c>
      <c r="G29" s="56">
        <v>95.515702980951659</v>
      </c>
      <c r="H29" s="57">
        <v>4.8363913395064504</v>
      </c>
      <c r="I29" s="60">
        <v>0</v>
      </c>
      <c r="O29" s="39"/>
      <c r="P29" s="5" t="s">
        <v>20</v>
      </c>
      <c r="Q29" s="8">
        <v>3230</v>
      </c>
      <c r="R29" s="8">
        <v>18</v>
      </c>
      <c r="S29" s="8">
        <v>11</v>
      </c>
      <c r="T29" s="8">
        <v>3</v>
      </c>
      <c r="U29" s="8">
        <v>2</v>
      </c>
      <c r="V29" s="19">
        <f t="shared" si="0"/>
        <v>3264</v>
      </c>
    </row>
    <row r="30" spans="2:22" x14ac:dyDescent="0.15">
      <c r="B30" s="67"/>
      <c r="C30" s="69"/>
      <c r="D30" s="55" t="s">
        <v>21</v>
      </c>
      <c r="E30" s="56">
        <v>0.87123200000000001</v>
      </c>
      <c r="F30" s="56">
        <v>10.437909791241804</v>
      </c>
      <c r="G30" s="56">
        <v>95.515702980951659</v>
      </c>
      <c r="H30" s="57">
        <v>5.0879064195064512</v>
      </c>
      <c r="I30" s="60">
        <v>0</v>
      </c>
      <c r="O30" s="39"/>
      <c r="P30" s="5" t="s">
        <v>22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19">
        <f t="shared" si="0"/>
        <v>0</v>
      </c>
    </row>
    <row r="31" spans="2:22" ht="14" thickBot="1" x14ac:dyDescent="0.2">
      <c r="B31" s="67"/>
      <c r="C31" s="69"/>
      <c r="D31" s="55" t="s">
        <v>23</v>
      </c>
      <c r="E31" s="56">
        <v>0.87123200000000001</v>
      </c>
      <c r="F31" s="56">
        <v>10.437909791241804</v>
      </c>
      <c r="G31" s="56">
        <v>95.515702980951659</v>
      </c>
      <c r="H31" s="57">
        <v>5.479152099506452</v>
      </c>
      <c r="I31" s="60">
        <v>0</v>
      </c>
      <c r="O31" s="40"/>
      <c r="P31" s="11" t="s">
        <v>24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20">
        <f t="shared" si="0"/>
        <v>0</v>
      </c>
    </row>
    <row r="32" spans="2:22" x14ac:dyDescent="0.15">
      <c r="B32" s="65" t="s">
        <v>29</v>
      </c>
      <c r="C32" s="66" t="s">
        <v>16</v>
      </c>
      <c r="D32" s="49" t="s">
        <v>17</v>
      </c>
      <c r="E32" s="50">
        <v>0.87762200000000001</v>
      </c>
      <c r="F32" s="50">
        <v>20.552109588957808</v>
      </c>
      <c r="G32" s="50">
        <v>95.812346611661241</v>
      </c>
      <c r="H32" s="51">
        <v>8.0341273866325515</v>
      </c>
      <c r="I32" s="58">
        <v>449.5</v>
      </c>
      <c r="O32" s="38" t="s">
        <v>32</v>
      </c>
      <c r="P32" s="13" t="s">
        <v>18</v>
      </c>
      <c r="Q32" s="14">
        <v>163106</v>
      </c>
      <c r="R32" s="14">
        <v>29</v>
      </c>
      <c r="S32" s="14">
        <v>15</v>
      </c>
      <c r="T32" s="14">
        <v>2</v>
      </c>
      <c r="U32" s="14">
        <v>4</v>
      </c>
      <c r="V32" s="21">
        <f t="shared" si="0"/>
        <v>163156</v>
      </c>
    </row>
    <row r="33" spans="2:22" x14ac:dyDescent="0.15">
      <c r="B33" s="67"/>
      <c r="C33" s="68"/>
      <c r="D33" s="52" t="s">
        <v>19</v>
      </c>
      <c r="E33" s="53">
        <v>0.87763599999999997</v>
      </c>
      <c r="F33" s="53">
        <v>20.552109588957808</v>
      </c>
      <c r="G33" s="53">
        <v>95.812346611661241</v>
      </c>
      <c r="H33" s="54">
        <v>8.2067595279728138</v>
      </c>
      <c r="I33" s="59">
        <v>0</v>
      </c>
      <c r="O33" s="39"/>
      <c r="P33" s="5" t="s">
        <v>20</v>
      </c>
      <c r="Q33" s="8">
        <v>5175</v>
      </c>
      <c r="R33" s="8">
        <v>36</v>
      </c>
      <c r="S33" s="8">
        <v>10</v>
      </c>
      <c r="T33" s="8">
        <v>3</v>
      </c>
      <c r="U33" s="8">
        <v>6</v>
      </c>
      <c r="V33" s="19">
        <f t="shared" si="0"/>
        <v>5230</v>
      </c>
    </row>
    <row r="34" spans="2:22" x14ac:dyDescent="0.15">
      <c r="B34" s="67"/>
      <c r="C34" s="68"/>
      <c r="D34" s="52" t="s">
        <v>21</v>
      </c>
      <c r="E34" s="53">
        <v>0.87763599999999997</v>
      </c>
      <c r="F34" s="53">
        <v>20.552109588957808</v>
      </c>
      <c r="G34" s="53">
        <v>95.812346611661241</v>
      </c>
      <c r="H34" s="54">
        <v>8.4289755579728141</v>
      </c>
      <c r="I34" s="59">
        <v>0</v>
      </c>
      <c r="O34" s="39"/>
      <c r="P34" s="5" t="s">
        <v>22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19">
        <f t="shared" si="0"/>
        <v>0</v>
      </c>
    </row>
    <row r="35" spans="2:22" ht="14" thickBot="1" x14ac:dyDescent="0.2">
      <c r="B35" s="67"/>
      <c r="C35" s="68"/>
      <c r="D35" s="52" t="s">
        <v>23</v>
      </c>
      <c r="E35" s="53">
        <v>0.87763599999999997</v>
      </c>
      <c r="F35" s="53">
        <v>20.552109588957808</v>
      </c>
      <c r="G35" s="53">
        <v>95.812346611661241</v>
      </c>
      <c r="H35" s="54">
        <v>8.7746449379728144</v>
      </c>
      <c r="I35" s="59">
        <v>0</v>
      </c>
      <c r="O35" s="40"/>
      <c r="P35" s="11" t="s">
        <v>24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20">
        <f t="shared" si="0"/>
        <v>0</v>
      </c>
    </row>
    <row r="36" spans="2:22" x14ac:dyDescent="0.15">
      <c r="B36" s="67"/>
      <c r="C36" s="69" t="s">
        <v>25</v>
      </c>
      <c r="D36" s="55" t="s">
        <v>17</v>
      </c>
      <c r="E36" s="56">
        <v>0.87775249999999994</v>
      </c>
      <c r="F36" s="56">
        <v>20.552229588955406</v>
      </c>
      <c r="G36" s="56">
        <v>95.812352568384824</v>
      </c>
      <c r="H36" s="57">
        <v>8.0340643881891829</v>
      </c>
      <c r="I36" s="60">
        <v>82.5</v>
      </c>
      <c r="O36" s="38" t="s">
        <v>33</v>
      </c>
      <c r="P36" s="13" t="s">
        <v>18</v>
      </c>
      <c r="Q36" s="14">
        <v>1016234</v>
      </c>
      <c r="R36" s="14">
        <v>278</v>
      </c>
      <c r="S36" s="14">
        <v>91</v>
      </c>
      <c r="T36" s="14">
        <v>38</v>
      </c>
      <c r="U36" s="14">
        <v>50</v>
      </c>
      <c r="V36" s="21">
        <f t="shared" si="0"/>
        <v>1016691</v>
      </c>
    </row>
    <row r="37" spans="2:22" x14ac:dyDescent="0.15">
      <c r="B37" s="67"/>
      <c r="C37" s="69"/>
      <c r="D37" s="55" t="s">
        <v>19</v>
      </c>
      <c r="E37" s="56">
        <v>0.87763599999999997</v>
      </c>
      <c r="F37" s="56">
        <v>20.552109588957808</v>
      </c>
      <c r="G37" s="56">
        <v>95.812346611661241</v>
      </c>
      <c r="H37" s="57">
        <v>8.2067595279728138</v>
      </c>
      <c r="I37" s="60">
        <v>0</v>
      </c>
      <c r="O37" s="39"/>
      <c r="P37" s="5" t="s">
        <v>20</v>
      </c>
      <c r="Q37" s="8">
        <v>2151</v>
      </c>
      <c r="R37" s="8">
        <v>38</v>
      </c>
      <c r="S37" s="8">
        <v>23</v>
      </c>
      <c r="T37" s="8">
        <v>7</v>
      </c>
      <c r="U37" s="8">
        <v>19</v>
      </c>
      <c r="V37" s="19">
        <f t="shared" si="0"/>
        <v>2238</v>
      </c>
    </row>
    <row r="38" spans="2:22" x14ac:dyDescent="0.15">
      <c r="B38" s="67"/>
      <c r="C38" s="69"/>
      <c r="D38" s="55" t="s">
        <v>21</v>
      </c>
      <c r="E38" s="56">
        <v>0.87763599999999997</v>
      </c>
      <c r="F38" s="56">
        <v>20.552109588957808</v>
      </c>
      <c r="G38" s="56">
        <v>95.812346611661241</v>
      </c>
      <c r="H38" s="57">
        <v>8.4289755579728141</v>
      </c>
      <c r="I38" s="60">
        <v>0</v>
      </c>
      <c r="O38" s="39"/>
      <c r="P38" s="5" t="s">
        <v>22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19">
        <f t="shared" si="0"/>
        <v>0</v>
      </c>
    </row>
    <row r="39" spans="2:22" ht="14" thickBot="1" x14ac:dyDescent="0.2">
      <c r="B39" s="67"/>
      <c r="C39" s="69"/>
      <c r="D39" s="55" t="s">
        <v>23</v>
      </c>
      <c r="E39" s="56">
        <v>0.87763599999999997</v>
      </c>
      <c r="F39" s="56">
        <v>20.552109588957808</v>
      </c>
      <c r="G39" s="56">
        <v>95.812346611661241</v>
      </c>
      <c r="H39" s="57">
        <v>8.7746449379728144</v>
      </c>
      <c r="I39" s="60">
        <v>0</v>
      </c>
      <c r="O39" s="40"/>
      <c r="P39" s="11" t="s">
        <v>24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20">
        <f t="shared" si="0"/>
        <v>0</v>
      </c>
    </row>
    <row r="40" spans="2:22" x14ac:dyDescent="0.15">
      <c r="B40" s="65" t="s">
        <v>30</v>
      </c>
      <c r="C40" s="66" t="s">
        <v>16</v>
      </c>
      <c r="D40" s="49" t="s">
        <v>17</v>
      </c>
      <c r="E40" s="50">
        <v>0.89732100000000004</v>
      </c>
      <c r="F40" s="50">
        <v>13.225499735490006</v>
      </c>
      <c r="G40" s="50">
        <v>95.534400971247919</v>
      </c>
      <c r="H40" s="51">
        <v>5.5896672181218019</v>
      </c>
      <c r="I40" s="58">
        <v>2683</v>
      </c>
      <c r="O40" s="38" t="s">
        <v>34</v>
      </c>
      <c r="P40" s="13" t="s">
        <v>18</v>
      </c>
      <c r="Q40" s="14">
        <v>265252</v>
      </c>
      <c r="R40" s="14">
        <v>577</v>
      </c>
      <c r="S40" s="14">
        <v>97</v>
      </c>
      <c r="T40" s="14">
        <v>30</v>
      </c>
      <c r="U40" s="14">
        <v>25</v>
      </c>
      <c r="V40" s="21">
        <f t="shared" ref="V40:V71" si="1">SUM(Q40:U40)</f>
        <v>265981</v>
      </c>
    </row>
    <row r="41" spans="2:22" x14ac:dyDescent="0.15">
      <c r="B41" s="67"/>
      <c r="C41" s="68"/>
      <c r="D41" s="52" t="s">
        <v>19</v>
      </c>
      <c r="E41" s="53">
        <v>0.89740749999999991</v>
      </c>
      <c r="F41" s="53">
        <v>13.225499735490006</v>
      </c>
      <c r="G41" s="53">
        <v>95.534400971247919</v>
      </c>
      <c r="H41" s="54">
        <v>5.7724126581067532</v>
      </c>
      <c r="I41" s="59">
        <v>0</v>
      </c>
      <c r="O41" s="39"/>
      <c r="P41" s="5" t="s">
        <v>20</v>
      </c>
      <c r="Q41" s="8">
        <v>8</v>
      </c>
      <c r="R41" s="8">
        <v>0</v>
      </c>
      <c r="S41" s="8">
        <v>0</v>
      </c>
      <c r="T41" s="8">
        <v>0</v>
      </c>
      <c r="U41" s="8">
        <v>0</v>
      </c>
      <c r="V41" s="19">
        <f t="shared" si="1"/>
        <v>8</v>
      </c>
    </row>
    <row r="42" spans="2:22" x14ac:dyDescent="0.15">
      <c r="B42" s="67"/>
      <c r="C42" s="68"/>
      <c r="D42" s="52" t="s">
        <v>21</v>
      </c>
      <c r="E42" s="53">
        <v>0.89740749999999991</v>
      </c>
      <c r="F42" s="53">
        <v>13.225499735490006</v>
      </c>
      <c r="G42" s="53">
        <v>95.534400971247919</v>
      </c>
      <c r="H42" s="54">
        <v>6.008925458106753</v>
      </c>
      <c r="I42" s="59">
        <v>0</v>
      </c>
      <c r="O42" s="39"/>
      <c r="P42" s="5" t="s">
        <v>22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19">
        <f t="shared" si="1"/>
        <v>0</v>
      </c>
    </row>
    <row r="43" spans="2:22" ht="14" thickBot="1" x14ac:dyDescent="0.2">
      <c r="B43" s="67"/>
      <c r="C43" s="68"/>
      <c r="D43" s="52" t="s">
        <v>23</v>
      </c>
      <c r="E43" s="53">
        <v>0.89740749999999991</v>
      </c>
      <c r="F43" s="53">
        <v>13.225499735490006</v>
      </c>
      <c r="G43" s="53">
        <v>95.534400971247919</v>
      </c>
      <c r="H43" s="54">
        <v>6.3768342581067525</v>
      </c>
      <c r="I43" s="59">
        <v>0</v>
      </c>
      <c r="O43" s="40"/>
      <c r="P43" s="11" t="s">
        <v>24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20">
        <f t="shared" si="1"/>
        <v>0</v>
      </c>
    </row>
    <row r="44" spans="2:22" x14ac:dyDescent="0.15">
      <c r="B44" s="67"/>
      <c r="C44" s="69" t="s">
        <v>25</v>
      </c>
      <c r="D44" s="55" t="s">
        <v>17</v>
      </c>
      <c r="E44" s="56">
        <v>0.89732699999999999</v>
      </c>
      <c r="F44" s="56">
        <v>13.225249735495005</v>
      </c>
      <c r="G44" s="56">
        <v>95.534579897496457</v>
      </c>
      <c r="H44" s="57">
        <v>5.5887525073590751</v>
      </c>
      <c r="I44" s="60">
        <v>5255.5</v>
      </c>
      <c r="O44" s="38" t="s">
        <v>35</v>
      </c>
      <c r="P44" s="13" t="s">
        <v>18</v>
      </c>
      <c r="Q44" s="14">
        <v>11041</v>
      </c>
      <c r="R44" s="14">
        <v>0</v>
      </c>
      <c r="S44" s="14">
        <v>0</v>
      </c>
      <c r="T44" s="14">
        <v>0</v>
      </c>
      <c r="U44" s="14">
        <v>0</v>
      </c>
      <c r="V44" s="21">
        <f t="shared" si="1"/>
        <v>11041</v>
      </c>
    </row>
    <row r="45" spans="2:22" x14ac:dyDescent="0.15">
      <c r="B45" s="67"/>
      <c r="C45" s="69"/>
      <c r="D45" s="55" t="s">
        <v>19</v>
      </c>
      <c r="E45" s="56">
        <v>0.89740749999999991</v>
      </c>
      <c r="F45" s="56">
        <v>13.225499735490006</v>
      </c>
      <c r="G45" s="56">
        <v>95.534400971247919</v>
      </c>
      <c r="H45" s="57">
        <v>5.7724126581067532</v>
      </c>
      <c r="I45" s="60">
        <v>0</v>
      </c>
      <c r="O45" s="39"/>
      <c r="P45" s="5" t="s">
        <v>20</v>
      </c>
      <c r="Q45" s="8">
        <v>811</v>
      </c>
      <c r="R45" s="8">
        <v>1</v>
      </c>
      <c r="S45" s="8">
        <v>0</v>
      </c>
      <c r="T45" s="8">
        <v>0</v>
      </c>
      <c r="U45" s="8">
        <v>0</v>
      </c>
      <c r="V45" s="19">
        <f t="shared" si="1"/>
        <v>812</v>
      </c>
    </row>
    <row r="46" spans="2:22" x14ac:dyDescent="0.15">
      <c r="B46" s="67"/>
      <c r="C46" s="69"/>
      <c r="D46" s="55" t="s">
        <v>21</v>
      </c>
      <c r="E46" s="56">
        <v>0.89740749999999991</v>
      </c>
      <c r="F46" s="56">
        <v>13.225499735490006</v>
      </c>
      <c r="G46" s="56">
        <v>95.534400971247919</v>
      </c>
      <c r="H46" s="57">
        <v>6.008925458106753</v>
      </c>
      <c r="I46" s="60">
        <v>0</v>
      </c>
      <c r="O46" s="39"/>
      <c r="P46" s="5" t="s">
        <v>22</v>
      </c>
      <c r="Q46" s="8">
        <v>8</v>
      </c>
      <c r="R46" s="8">
        <v>0</v>
      </c>
      <c r="S46" s="8">
        <v>0</v>
      </c>
      <c r="T46" s="8">
        <v>0</v>
      </c>
      <c r="U46" s="8">
        <v>0</v>
      </c>
      <c r="V46" s="19">
        <f t="shared" si="1"/>
        <v>8</v>
      </c>
    </row>
    <row r="47" spans="2:22" ht="14" thickBot="1" x14ac:dyDescent="0.2">
      <c r="B47" s="67"/>
      <c r="C47" s="69"/>
      <c r="D47" s="55" t="s">
        <v>23</v>
      </c>
      <c r="E47" s="56">
        <v>0.89740749999999991</v>
      </c>
      <c r="F47" s="56">
        <v>13.225499735490006</v>
      </c>
      <c r="G47" s="56">
        <v>95.534400971247919</v>
      </c>
      <c r="H47" s="57">
        <v>6.3768342581067525</v>
      </c>
      <c r="I47" s="60">
        <v>0</v>
      </c>
      <c r="O47" s="40"/>
      <c r="P47" s="11" t="s">
        <v>24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20">
        <f t="shared" si="1"/>
        <v>0</v>
      </c>
    </row>
    <row r="48" spans="2:22" x14ac:dyDescent="0.15">
      <c r="B48" s="65" t="s">
        <v>31</v>
      </c>
      <c r="C48" s="66" t="s">
        <v>16</v>
      </c>
      <c r="D48" s="49" t="s">
        <v>17</v>
      </c>
      <c r="E48" s="50">
        <v>1.0199119999999999</v>
      </c>
      <c r="F48" s="50">
        <v>5.194749735205014</v>
      </c>
      <c r="G48" s="50">
        <v>95.460388612535553</v>
      </c>
      <c r="H48" s="51">
        <v>3.288966810216293</v>
      </c>
      <c r="I48" s="58">
        <v>4805.5</v>
      </c>
      <c r="O48" s="38" t="s">
        <v>36</v>
      </c>
      <c r="P48" s="13" t="s">
        <v>18</v>
      </c>
      <c r="Q48" s="14">
        <v>1212542</v>
      </c>
      <c r="R48" s="14">
        <v>2935</v>
      </c>
      <c r="S48" s="14">
        <v>693</v>
      </c>
      <c r="T48" s="14">
        <v>205</v>
      </c>
      <c r="U48" s="14">
        <v>236</v>
      </c>
      <c r="V48" s="21">
        <f t="shared" si="1"/>
        <v>1216611</v>
      </c>
    </row>
    <row r="49" spans="2:22" x14ac:dyDescent="0.15">
      <c r="B49" s="67"/>
      <c r="C49" s="68"/>
      <c r="D49" s="52" t="s">
        <v>19</v>
      </c>
      <c r="E49" s="53">
        <v>1.0201145</v>
      </c>
      <c r="F49" s="53">
        <v>5.194749735205014</v>
      </c>
      <c r="G49" s="53">
        <v>95.460388612535553</v>
      </c>
      <c r="H49" s="54">
        <v>3.4962199624352834</v>
      </c>
      <c r="I49" s="59">
        <v>0</v>
      </c>
      <c r="O49" s="39"/>
      <c r="P49" s="5" t="s">
        <v>20</v>
      </c>
      <c r="Q49" s="8">
        <v>25</v>
      </c>
      <c r="R49" s="8">
        <v>0</v>
      </c>
      <c r="S49" s="8">
        <v>0</v>
      </c>
      <c r="T49" s="8">
        <v>1</v>
      </c>
      <c r="U49" s="8">
        <v>0</v>
      </c>
      <c r="V49" s="19">
        <f t="shared" si="1"/>
        <v>26</v>
      </c>
    </row>
    <row r="50" spans="2:22" x14ac:dyDescent="0.15">
      <c r="B50" s="67"/>
      <c r="C50" s="68"/>
      <c r="D50" s="52" t="s">
        <v>21</v>
      </c>
      <c r="E50" s="53">
        <v>1.0201145</v>
      </c>
      <c r="F50" s="53">
        <v>5.194749735205014</v>
      </c>
      <c r="G50" s="53">
        <v>95.460388612535553</v>
      </c>
      <c r="H50" s="54">
        <v>3.7654723774352834</v>
      </c>
      <c r="I50" s="59">
        <v>0</v>
      </c>
      <c r="O50" s="39"/>
      <c r="P50" s="5" t="s">
        <v>22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19">
        <f t="shared" si="1"/>
        <v>0</v>
      </c>
    </row>
    <row r="51" spans="2:22" ht="14" thickBot="1" x14ac:dyDescent="0.2">
      <c r="B51" s="67"/>
      <c r="C51" s="68"/>
      <c r="D51" s="52" t="s">
        <v>23</v>
      </c>
      <c r="E51" s="53">
        <v>1.0201145</v>
      </c>
      <c r="F51" s="53">
        <v>5.194749735205014</v>
      </c>
      <c r="G51" s="53">
        <v>95.460388612535553</v>
      </c>
      <c r="H51" s="54">
        <v>4.1843094674352832</v>
      </c>
      <c r="I51" s="59">
        <v>0</v>
      </c>
      <c r="O51" s="40"/>
      <c r="P51" s="11" t="s">
        <v>24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20">
        <f t="shared" si="1"/>
        <v>0</v>
      </c>
    </row>
    <row r="52" spans="2:22" x14ac:dyDescent="0.15">
      <c r="B52" s="67"/>
      <c r="C52" s="69" t="s">
        <v>25</v>
      </c>
      <c r="D52" s="55" t="s">
        <v>17</v>
      </c>
      <c r="E52" s="56">
        <v>1.0189619999999999</v>
      </c>
      <c r="F52" s="56">
        <v>5.2260697336506139</v>
      </c>
      <c r="G52" s="56">
        <v>95.459749364286097</v>
      </c>
      <c r="H52" s="57">
        <v>3.2955284561745981</v>
      </c>
      <c r="I52" s="60">
        <v>9243</v>
      </c>
      <c r="O52" s="38" t="s">
        <v>37</v>
      </c>
      <c r="P52" s="13" t="s">
        <v>18</v>
      </c>
      <c r="Q52" s="14">
        <v>1296060</v>
      </c>
      <c r="R52" s="14">
        <v>3145</v>
      </c>
      <c r="S52" s="14">
        <v>661</v>
      </c>
      <c r="T52" s="14">
        <v>180</v>
      </c>
      <c r="U52" s="14">
        <v>161</v>
      </c>
      <c r="V52" s="21">
        <f t="shared" si="1"/>
        <v>1300207</v>
      </c>
    </row>
    <row r="53" spans="2:22" x14ac:dyDescent="0.15">
      <c r="B53" s="67"/>
      <c r="C53" s="69"/>
      <c r="D53" s="55" t="s">
        <v>19</v>
      </c>
      <c r="E53" s="56">
        <v>1.0201145</v>
      </c>
      <c r="F53" s="56">
        <v>5.194749735205014</v>
      </c>
      <c r="G53" s="56">
        <v>95.460388612535553</v>
      </c>
      <c r="H53" s="57">
        <v>3.4962199624352834</v>
      </c>
      <c r="I53" s="60">
        <v>0</v>
      </c>
      <c r="O53" s="39"/>
      <c r="P53" s="5" t="s">
        <v>20</v>
      </c>
      <c r="Q53" s="8">
        <v>2764</v>
      </c>
      <c r="R53" s="8">
        <v>11</v>
      </c>
      <c r="S53" s="8">
        <v>3</v>
      </c>
      <c r="T53" s="8">
        <v>0</v>
      </c>
      <c r="U53" s="8">
        <v>1</v>
      </c>
      <c r="V53" s="19">
        <f t="shared" si="1"/>
        <v>2779</v>
      </c>
    </row>
    <row r="54" spans="2:22" x14ac:dyDescent="0.15">
      <c r="B54" s="67"/>
      <c r="C54" s="69"/>
      <c r="D54" s="55" t="s">
        <v>21</v>
      </c>
      <c r="E54" s="56">
        <v>1.0201145</v>
      </c>
      <c r="F54" s="56">
        <v>5.194749735205014</v>
      </c>
      <c r="G54" s="56">
        <v>95.460388612535553</v>
      </c>
      <c r="H54" s="57">
        <v>3.7654723774352834</v>
      </c>
      <c r="I54" s="60">
        <v>0</v>
      </c>
      <c r="O54" s="39"/>
      <c r="P54" s="5" t="s">
        <v>22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19">
        <f t="shared" si="1"/>
        <v>0</v>
      </c>
    </row>
    <row r="55" spans="2:22" ht="14" thickBot="1" x14ac:dyDescent="0.2">
      <c r="B55" s="67"/>
      <c r="C55" s="69"/>
      <c r="D55" s="55" t="s">
        <v>23</v>
      </c>
      <c r="E55" s="56">
        <v>1.0201145</v>
      </c>
      <c r="F55" s="56">
        <v>5.194749735205014</v>
      </c>
      <c r="G55" s="56">
        <v>95.460388612535553</v>
      </c>
      <c r="H55" s="57">
        <v>4.1843094674352832</v>
      </c>
      <c r="I55" s="60">
        <v>0</v>
      </c>
      <c r="O55" s="40"/>
      <c r="P55" s="11" t="s">
        <v>24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20">
        <f t="shared" si="1"/>
        <v>0</v>
      </c>
    </row>
    <row r="56" spans="2:22" x14ac:dyDescent="0.15">
      <c r="B56" s="65" t="s">
        <v>32</v>
      </c>
      <c r="C56" s="66" t="s">
        <v>16</v>
      </c>
      <c r="D56" s="49" t="s">
        <v>17</v>
      </c>
      <c r="E56" s="50">
        <v>0.97999849999999999</v>
      </c>
      <c r="F56" s="50">
        <v>8.1934498449928057</v>
      </c>
      <c r="G56" s="50">
        <v>95.384865324799449</v>
      </c>
      <c r="H56" s="51">
        <v>3.7644240886885854</v>
      </c>
      <c r="I56" s="58">
        <v>10974</v>
      </c>
      <c r="O56" s="38" t="s">
        <v>38</v>
      </c>
      <c r="P56" s="13" t="s">
        <v>18</v>
      </c>
      <c r="Q56" s="14">
        <v>1416050</v>
      </c>
      <c r="R56" s="14">
        <v>2777</v>
      </c>
      <c r="S56" s="14">
        <v>420</v>
      </c>
      <c r="T56" s="14">
        <v>128</v>
      </c>
      <c r="U56" s="14">
        <v>64</v>
      </c>
      <c r="V56" s="21">
        <f t="shared" si="1"/>
        <v>1419439</v>
      </c>
    </row>
    <row r="57" spans="2:22" x14ac:dyDescent="0.15">
      <c r="B57" s="67"/>
      <c r="C57" s="68"/>
      <c r="D57" s="52" t="s">
        <v>19</v>
      </c>
      <c r="E57" s="53">
        <v>0.9804195</v>
      </c>
      <c r="F57" s="53">
        <v>8.1934498449928057</v>
      </c>
      <c r="G57" s="53">
        <v>95.384865324799449</v>
      </c>
      <c r="H57" s="54">
        <v>3.9061793741458564</v>
      </c>
      <c r="I57" s="59">
        <v>0</v>
      </c>
      <c r="O57" s="39"/>
      <c r="P57" s="5" t="s">
        <v>20</v>
      </c>
      <c r="Q57" s="8">
        <v>1561</v>
      </c>
      <c r="R57" s="8">
        <v>16</v>
      </c>
      <c r="S57" s="8">
        <v>2</v>
      </c>
      <c r="T57" s="8">
        <v>2</v>
      </c>
      <c r="U57" s="8">
        <v>4</v>
      </c>
      <c r="V57" s="19">
        <f t="shared" si="1"/>
        <v>1585</v>
      </c>
    </row>
    <row r="58" spans="2:22" x14ac:dyDescent="0.15">
      <c r="B58" s="67"/>
      <c r="C58" s="68"/>
      <c r="D58" s="52" t="s">
        <v>21</v>
      </c>
      <c r="E58" s="53">
        <v>0.9804195</v>
      </c>
      <c r="F58" s="53">
        <v>8.1934498449928057</v>
      </c>
      <c r="G58" s="53">
        <v>95.384865324799449</v>
      </c>
      <c r="H58" s="54">
        <v>4.0947938591458559</v>
      </c>
      <c r="I58" s="59">
        <v>0</v>
      </c>
      <c r="O58" s="39"/>
      <c r="P58" s="5" t="s">
        <v>22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19">
        <f t="shared" si="1"/>
        <v>0</v>
      </c>
    </row>
    <row r="59" spans="2:22" ht="14" thickBot="1" x14ac:dyDescent="0.2">
      <c r="B59" s="67"/>
      <c r="C59" s="68"/>
      <c r="D59" s="52" t="s">
        <v>23</v>
      </c>
      <c r="E59" s="53">
        <v>0.9804195</v>
      </c>
      <c r="F59" s="53">
        <v>8.1934498449928057</v>
      </c>
      <c r="G59" s="53">
        <v>95.384865324799449</v>
      </c>
      <c r="H59" s="54">
        <v>4.3881941691458559</v>
      </c>
      <c r="I59" s="59">
        <v>0</v>
      </c>
      <c r="O59" s="40"/>
      <c r="P59" s="11" t="s">
        <v>24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20">
        <f t="shared" si="1"/>
        <v>0</v>
      </c>
    </row>
    <row r="60" spans="2:22" x14ac:dyDescent="0.15">
      <c r="B60" s="67"/>
      <c r="C60" s="69" t="s">
        <v>25</v>
      </c>
      <c r="D60" s="55" t="s">
        <v>17</v>
      </c>
      <c r="E60" s="56">
        <v>0.98022050000000005</v>
      </c>
      <c r="F60" s="56">
        <v>8.2101898446364068</v>
      </c>
      <c r="G60" s="56">
        <v>95.384791567690399</v>
      </c>
      <c r="H60" s="57">
        <v>3.7642055667624059</v>
      </c>
      <c r="I60" s="60">
        <v>5143.5</v>
      </c>
      <c r="O60" s="38" t="s">
        <v>39</v>
      </c>
      <c r="P60" s="13" t="s">
        <v>18</v>
      </c>
      <c r="Q60" s="14">
        <v>1509231</v>
      </c>
      <c r="R60" s="14">
        <v>3071</v>
      </c>
      <c r="S60" s="14">
        <v>452</v>
      </c>
      <c r="T60" s="14">
        <v>143</v>
      </c>
      <c r="U60" s="14">
        <v>86</v>
      </c>
      <c r="V60" s="21">
        <f t="shared" si="1"/>
        <v>1512983</v>
      </c>
    </row>
    <row r="61" spans="2:22" x14ac:dyDescent="0.15">
      <c r="B61" s="67"/>
      <c r="C61" s="69"/>
      <c r="D61" s="55" t="s">
        <v>19</v>
      </c>
      <c r="E61" s="56">
        <v>0.9804195</v>
      </c>
      <c r="F61" s="56">
        <v>8.1934498449928057</v>
      </c>
      <c r="G61" s="56">
        <v>95.384865324799449</v>
      </c>
      <c r="H61" s="57">
        <v>3.9061793741458564</v>
      </c>
      <c r="I61" s="60">
        <v>0</v>
      </c>
      <c r="O61" s="39"/>
      <c r="P61" s="5" t="s">
        <v>20</v>
      </c>
      <c r="Q61" s="8">
        <v>329</v>
      </c>
      <c r="R61" s="8">
        <v>1</v>
      </c>
      <c r="S61" s="8">
        <v>2</v>
      </c>
      <c r="T61" s="8">
        <v>0</v>
      </c>
      <c r="U61" s="8">
        <v>0</v>
      </c>
      <c r="V61" s="19">
        <f t="shared" si="1"/>
        <v>332</v>
      </c>
    </row>
    <row r="62" spans="2:22" x14ac:dyDescent="0.15">
      <c r="B62" s="67"/>
      <c r="C62" s="69"/>
      <c r="D62" s="55" t="s">
        <v>21</v>
      </c>
      <c r="E62" s="56">
        <v>0.9804195</v>
      </c>
      <c r="F62" s="56">
        <v>8.1934498449928057</v>
      </c>
      <c r="G62" s="56">
        <v>95.384865324799449</v>
      </c>
      <c r="H62" s="57">
        <v>4.0947938591458559</v>
      </c>
      <c r="I62" s="60">
        <v>0</v>
      </c>
      <c r="O62" s="39"/>
      <c r="P62" s="5" t="s">
        <v>22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19">
        <f t="shared" si="1"/>
        <v>0</v>
      </c>
    </row>
    <row r="63" spans="2:22" ht="14" thickBot="1" x14ac:dyDescent="0.2">
      <c r="B63" s="67"/>
      <c r="C63" s="69"/>
      <c r="D63" s="55" t="s">
        <v>23</v>
      </c>
      <c r="E63" s="56">
        <v>0.9804195</v>
      </c>
      <c r="F63" s="56">
        <v>8.1934498449928057</v>
      </c>
      <c r="G63" s="56">
        <v>95.384865324799449</v>
      </c>
      <c r="H63" s="57">
        <v>4.3881941691458559</v>
      </c>
      <c r="I63" s="60">
        <v>0</v>
      </c>
      <c r="O63" s="40"/>
      <c r="P63" s="11" t="s">
        <v>24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20">
        <f t="shared" si="1"/>
        <v>0</v>
      </c>
    </row>
    <row r="64" spans="2:22" x14ac:dyDescent="0.15">
      <c r="B64" s="65" t="s">
        <v>33</v>
      </c>
      <c r="C64" s="66" t="s">
        <v>16</v>
      </c>
      <c r="D64" s="49" t="s">
        <v>17</v>
      </c>
      <c r="E64" s="50">
        <v>0.88294549999999994</v>
      </c>
      <c r="F64" s="50">
        <v>14.761189409552424</v>
      </c>
      <c r="G64" s="50">
        <v>95.364398333432121</v>
      </c>
      <c r="H64" s="51">
        <v>6.2238607310814889</v>
      </c>
      <c r="I64" s="58">
        <v>10375.5</v>
      </c>
      <c r="O64" s="38" t="s">
        <v>40</v>
      </c>
      <c r="P64" s="13" t="s">
        <v>18</v>
      </c>
      <c r="Q64" s="14">
        <v>1542544</v>
      </c>
      <c r="R64" s="14">
        <v>3494</v>
      </c>
      <c r="S64" s="14">
        <v>634</v>
      </c>
      <c r="T64" s="14">
        <v>171</v>
      </c>
      <c r="U64" s="14">
        <v>182</v>
      </c>
      <c r="V64" s="21">
        <f t="shared" si="1"/>
        <v>1547025</v>
      </c>
    </row>
    <row r="65" spans="2:22" x14ac:dyDescent="0.15">
      <c r="B65" s="67"/>
      <c r="C65" s="68"/>
      <c r="D65" s="52" t="s">
        <v>19</v>
      </c>
      <c r="E65" s="53">
        <v>0.88327</v>
      </c>
      <c r="F65" s="53">
        <v>14.761189409552424</v>
      </c>
      <c r="G65" s="53">
        <v>95.364398333432121</v>
      </c>
      <c r="H65" s="54">
        <v>6.4632998471701661</v>
      </c>
      <c r="I65" s="59">
        <v>0</v>
      </c>
      <c r="O65" s="39"/>
      <c r="P65" s="5" t="s">
        <v>20</v>
      </c>
      <c r="Q65" s="8">
        <v>14</v>
      </c>
      <c r="R65" s="8">
        <v>0</v>
      </c>
      <c r="S65" s="8">
        <v>0</v>
      </c>
      <c r="T65" s="8">
        <v>0</v>
      </c>
      <c r="U65" s="8">
        <v>0</v>
      </c>
      <c r="V65" s="19">
        <f t="shared" si="1"/>
        <v>14</v>
      </c>
    </row>
    <row r="66" spans="2:22" x14ac:dyDescent="0.15">
      <c r="B66" s="67"/>
      <c r="C66" s="68"/>
      <c r="D66" s="52" t="s">
        <v>21</v>
      </c>
      <c r="E66" s="53">
        <v>0.88327</v>
      </c>
      <c r="F66" s="53">
        <v>14.761189409552424</v>
      </c>
      <c r="G66" s="53">
        <v>95.364398333432121</v>
      </c>
      <c r="H66" s="54">
        <v>6.7771611221701651</v>
      </c>
      <c r="I66" s="59">
        <v>0</v>
      </c>
      <c r="O66" s="39"/>
      <c r="P66" s="5" t="s">
        <v>22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19">
        <f t="shared" si="1"/>
        <v>0</v>
      </c>
    </row>
    <row r="67" spans="2:22" ht="14" thickBot="1" x14ac:dyDescent="0.2">
      <c r="B67" s="67"/>
      <c r="C67" s="68"/>
      <c r="D67" s="52" t="s">
        <v>23</v>
      </c>
      <c r="E67" s="53">
        <v>0.88327</v>
      </c>
      <c r="F67" s="53">
        <v>14.761189409552424</v>
      </c>
      <c r="G67" s="53">
        <v>95.364398333432121</v>
      </c>
      <c r="H67" s="54">
        <v>7.265389772170165</v>
      </c>
      <c r="I67" s="59">
        <v>0</v>
      </c>
      <c r="O67" s="40"/>
      <c r="P67" s="11" t="s">
        <v>24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20">
        <f t="shared" si="1"/>
        <v>0</v>
      </c>
    </row>
    <row r="68" spans="2:22" x14ac:dyDescent="0.15">
      <c r="B68" s="67"/>
      <c r="C68" s="69" t="s">
        <v>25</v>
      </c>
      <c r="D68" s="55" t="s">
        <v>17</v>
      </c>
      <c r="E68" s="56">
        <v>0.88326700000000002</v>
      </c>
      <c r="F68" s="56">
        <v>14.759339409626424</v>
      </c>
      <c r="G68" s="56">
        <v>95.364740425542067</v>
      </c>
      <c r="H68" s="57">
        <v>6.220108764784599</v>
      </c>
      <c r="I68" s="60">
        <v>7875</v>
      </c>
      <c r="O68" s="38" t="s">
        <v>41</v>
      </c>
      <c r="P68" s="13" t="s">
        <v>18</v>
      </c>
      <c r="Q68" s="14">
        <v>1588304</v>
      </c>
      <c r="R68" s="14">
        <v>3473</v>
      </c>
      <c r="S68" s="14">
        <v>518</v>
      </c>
      <c r="T68" s="14">
        <v>203</v>
      </c>
      <c r="U68" s="14">
        <v>94</v>
      </c>
      <c r="V68" s="21">
        <f t="shared" si="1"/>
        <v>1592592</v>
      </c>
    </row>
    <row r="69" spans="2:22" x14ac:dyDescent="0.15">
      <c r="B69" s="67"/>
      <c r="C69" s="69"/>
      <c r="D69" s="55" t="s">
        <v>19</v>
      </c>
      <c r="E69" s="56">
        <v>0.88327</v>
      </c>
      <c r="F69" s="56">
        <v>14.761189409552424</v>
      </c>
      <c r="G69" s="56">
        <v>95.364398333432121</v>
      </c>
      <c r="H69" s="57">
        <v>6.4632998471701661</v>
      </c>
      <c r="I69" s="60">
        <v>0</v>
      </c>
      <c r="O69" s="39"/>
      <c r="P69" s="5" t="s">
        <v>20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19">
        <f t="shared" si="1"/>
        <v>0</v>
      </c>
    </row>
    <row r="70" spans="2:22" x14ac:dyDescent="0.15">
      <c r="B70" s="67"/>
      <c r="C70" s="69"/>
      <c r="D70" s="55" t="s">
        <v>21</v>
      </c>
      <c r="E70" s="56">
        <v>0.88327</v>
      </c>
      <c r="F70" s="56">
        <v>14.761189409552424</v>
      </c>
      <c r="G70" s="56">
        <v>95.364398333432121</v>
      </c>
      <c r="H70" s="57">
        <v>6.7771611221701651</v>
      </c>
      <c r="I70" s="60">
        <v>0</v>
      </c>
      <c r="O70" s="39"/>
      <c r="P70" s="5" t="s">
        <v>22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19">
        <f t="shared" si="1"/>
        <v>0</v>
      </c>
    </row>
    <row r="71" spans="2:22" ht="14" thickBot="1" x14ac:dyDescent="0.2">
      <c r="B71" s="67"/>
      <c r="C71" s="69"/>
      <c r="D71" s="55" t="s">
        <v>23</v>
      </c>
      <c r="E71" s="56">
        <v>0.88327</v>
      </c>
      <c r="F71" s="56">
        <v>14.761189409552424</v>
      </c>
      <c r="G71" s="56">
        <v>95.364398333432121</v>
      </c>
      <c r="H71" s="57">
        <v>7.265389772170165</v>
      </c>
      <c r="I71" s="60">
        <v>0</v>
      </c>
      <c r="O71" s="40"/>
      <c r="P71" s="11" t="s">
        <v>24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20">
        <f t="shared" si="1"/>
        <v>0</v>
      </c>
    </row>
    <row r="72" spans="2:22" x14ac:dyDescent="0.15">
      <c r="B72" s="65" t="s">
        <v>34</v>
      </c>
      <c r="C72" s="66" t="s">
        <v>16</v>
      </c>
      <c r="D72" s="49" t="s">
        <v>17</v>
      </c>
      <c r="E72" s="50">
        <v>1.038254</v>
      </c>
      <c r="F72" s="50">
        <v>6.5984697823572134</v>
      </c>
      <c r="G72" s="50">
        <v>95.398406217824061</v>
      </c>
      <c r="H72" s="51">
        <v>4.5852878777099271</v>
      </c>
      <c r="I72" s="58">
        <v>6</v>
      </c>
      <c r="O72" s="38" t="s">
        <v>42</v>
      </c>
      <c r="P72" s="13" t="s">
        <v>18</v>
      </c>
      <c r="Q72" s="14">
        <v>1667169</v>
      </c>
      <c r="R72" s="14">
        <v>3570</v>
      </c>
      <c r="S72" s="14">
        <v>495</v>
      </c>
      <c r="T72" s="14">
        <v>185</v>
      </c>
      <c r="U72" s="14">
        <v>101</v>
      </c>
      <c r="V72" s="21">
        <f t="shared" ref="V72:V103" si="2">SUM(Q72:U72)</f>
        <v>1671520</v>
      </c>
    </row>
    <row r="73" spans="2:22" x14ac:dyDescent="0.15">
      <c r="B73" s="67"/>
      <c r="C73" s="68"/>
      <c r="D73" s="52" t="s">
        <v>19</v>
      </c>
      <c r="E73" s="53">
        <v>1.038254</v>
      </c>
      <c r="F73" s="53">
        <v>6.5984697823572134</v>
      </c>
      <c r="G73" s="53">
        <v>95.398406217824061</v>
      </c>
      <c r="H73" s="54">
        <v>4.9191849327099275</v>
      </c>
      <c r="I73" s="59">
        <v>0</v>
      </c>
      <c r="O73" s="39"/>
      <c r="P73" s="5" t="s">
        <v>20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19">
        <f t="shared" si="2"/>
        <v>0</v>
      </c>
    </row>
    <row r="74" spans="2:22" x14ac:dyDescent="0.15">
      <c r="B74" s="67"/>
      <c r="C74" s="68"/>
      <c r="D74" s="52" t="s">
        <v>21</v>
      </c>
      <c r="E74" s="53">
        <v>1.038254</v>
      </c>
      <c r="F74" s="53">
        <v>6.5984697823572134</v>
      </c>
      <c r="G74" s="53">
        <v>95.398406217824061</v>
      </c>
      <c r="H74" s="54">
        <v>5.3484846177099277</v>
      </c>
      <c r="I74" s="59">
        <v>0</v>
      </c>
      <c r="O74" s="39"/>
      <c r="P74" s="5" t="s">
        <v>22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19">
        <f t="shared" si="2"/>
        <v>0</v>
      </c>
    </row>
    <row r="75" spans="2:22" ht="14" thickBot="1" x14ac:dyDescent="0.2">
      <c r="B75" s="67"/>
      <c r="C75" s="68"/>
      <c r="D75" s="52" t="s">
        <v>23</v>
      </c>
      <c r="E75" s="53">
        <v>1.038254</v>
      </c>
      <c r="F75" s="53">
        <v>6.5984697823572134</v>
      </c>
      <c r="G75" s="53">
        <v>95.398406217824061</v>
      </c>
      <c r="H75" s="54">
        <v>6.0162841277099268</v>
      </c>
      <c r="I75" s="59">
        <v>0</v>
      </c>
      <c r="O75" s="40"/>
      <c r="P75" s="11" t="s">
        <v>24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  <c r="V75" s="20">
        <f t="shared" si="2"/>
        <v>0</v>
      </c>
    </row>
    <row r="76" spans="2:22" x14ac:dyDescent="0.15">
      <c r="B76" s="67"/>
      <c r="C76" s="69" t="s">
        <v>25</v>
      </c>
      <c r="D76" s="55" t="s">
        <v>17</v>
      </c>
      <c r="E76" s="56">
        <v>1.038254</v>
      </c>
      <c r="F76" s="56">
        <v>6.5984697823572134</v>
      </c>
      <c r="G76" s="56">
        <v>95.398406217824061</v>
      </c>
      <c r="H76" s="57">
        <v>4.5852851777099275</v>
      </c>
      <c r="I76" s="60">
        <v>0</v>
      </c>
      <c r="O76" s="38" t="s">
        <v>43</v>
      </c>
      <c r="P76" s="13" t="s">
        <v>18</v>
      </c>
      <c r="Q76" s="14">
        <v>43021</v>
      </c>
      <c r="R76" s="14">
        <v>103</v>
      </c>
      <c r="S76" s="14">
        <v>23</v>
      </c>
      <c r="T76" s="14">
        <v>8</v>
      </c>
      <c r="U76" s="14">
        <v>8</v>
      </c>
      <c r="V76" s="21">
        <f t="shared" si="2"/>
        <v>43163</v>
      </c>
    </row>
    <row r="77" spans="2:22" x14ac:dyDescent="0.15">
      <c r="B77" s="67"/>
      <c r="C77" s="69"/>
      <c r="D77" s="55" t="s">
        <v>19</v>
      </c>
      <c r="E77" s="56">
        <v>1.038254</v>
      </c>
      <c r="F77" s="56">
        <v>6.5984697823572134</v>
      </c>
      <c r="G77" s="56">
        <v>95.398406217824061</v>
      </c>
      <c r="H77" s="57">
        <v>4.9191849327099275</v>
      </c>
      <c r="I77" s="60">
        <v>0</v>
      </c>
      <c r="O77" s="39"/>
      <c r="P77" s="5" t="s">
        <v>20</v>
      </c>
      <c r="Q77" s="8">
        <v>3547</v>
      </c>
      <c r="R77" s="8">
        <v>17</v>
      </c>
      <c r="S77" s="8">
        <v>3</v>
      </c>
      <c r="T77" s="8">
        <v>1</v>
      </c>
      <c r="U77" s="8">
        <v>1</v>
      </c>
      <c r="V77" s="19">
        <f t="shared" si="2"/>
        <v>3569</v>
      </c>
    </row>
    <row r="78" spans="2:22" x14ac:dyDescent="0.15">
      <c r="B78" s="67"/>
      <c r="C78" s="69"/>
      <c r="D78" s="55" t="s">
        <v>21</v>
      </c>
      <c r="E78" s="56">
        <v>1.038254</v>
      </c>
      <c r="F78" s="56">
        <v>6.5984697823572134</v>
      </c>
      <c r="G78" s="56">
        <v>95.398406217824061</v>
      </c>
      <c r="H78" s="57">
        <v>5.3484846177099277</v>
      </c>
      <c r="I78" s="60">
        <v>0</v>
      </c>
      <c r="O78" s="39"/>
      <c r="P78" s="5" t="s">
        <v>22</v>
      </c>
      <c r="Q78" s="8">
        <v>14</v>
      </c>
      <c r="R78" s="8">
        <v>0</v>
      </c>
      <c r="S78" s="8">
        <v>0</v>
      </c>
      <c r="T78" s="8">
        <v>0</v>
      </c>
      <c r="U78" s="8">
        <v>0</v>
      </c>
      <c r="V78" s="19">
        <f t="shared" si="2"/>
        <v>14</v>
      </c>
    </row>
    <row r="79" spans="2:22" ht="14" thickBot="1" x14ac:dyDescent="0.2">
      <c r="B79" s="67"/>
      <c r="C79" s="69"/>
      <c r="D79" s="55" t="s">
        <v>23</v>
      </c>
      <c r="E79" s="56">
        <v>1.038254</v>
      </c>
      <c r="F79" s="56">
        <v>6.5984697823572134</v>
      </c>
      <c r="G79" s="56">
        <v>95.398406217824061</v>
      </c>
      <c r="H79" s="57">
        <v>6.0162841277099268</v>
      </c>
      <c r="I79" s="60">
        <v>0</v>
      </c>
      <c r="O79" s="40"/>
      <c r="P79" s="11" t="s">
        <v>24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20">
        <f t="shared" si="2"/>
        <v>0</v>
      </c>
    </row>
    <row r="80" spans="2:22" x14ac:dyDescent="0.15">
      <c r="B80" s="65" t="s">
        <v>35</v>
      </c>
      <c r="C80" s="66" t="s">
        <v>16</v>
      </c>
      <c r="D80" s="49" t="s">
        <v>17</v>
      </c>
      <c r="E80" s="50">
        <v>0.94226650000000001</v>
      </c>
      <c r="F80" s="50">
        <v>2.2617699095292036</v>
      </c>
      <c r="G80" s="50">
        <v>95.374885502286475</v>
      </c>
      <c r="H80" s="51">
        <v>2.0663236151727817</v>
      </c>
      <c r="I80" s="58">
        <v>33062</v>
      </c>
      <c r="O80" s="38" t="s">
        <v>44</v>
      </c>
      <c r="P80" s="13" t="s">
        <v>18</v>
      </c>
      <c r="Q80" s="14">
        <v>41574</v>
      </c>
      <c r="R80" s="14">
        <v>1</v>
      </c>
      <c r="S80" s="14">
        <v>0</v>
      </c>
      <c r="T80" s="14">
        <v>0</v>
      </c>
      <c r="U80" s="14">
        <v>0</v>
      </c>
      <c r="V80" s="21">
        <f t="shared" si="2"/>
        <v>41575</v>
      </c>
    </row>
    <row r="81" spans="2:22" x14ac:dyDescent="0.15">
      <c r="B81" s="67"/>
      <c r="C81" s="68"/>
      <c r="D81" s="52" t="s">
        <v>19</v>
      </c>
      <c r="E81" s="53">
        <v>0.94333800000000001</v>
      </c>
      <c r="F81" s="53">
        <v>2.2617699095292036</v>
      </c>
      <c r="G81" s="53">
        <v>95.374885502286475</v>
      </c>
      <c r="H81" s="54">
        <v>2.2298447491763316</v>
      </c>
      <c r="I81" s="59">
        <v>1940</v>
      </c>
      <c r="O81" s="39"/>
      <c r="P81" s="5" t="s">
        <v>20</v>
      </c>
      <c r="Q81" s="8">
        <v>761</v>
      </c>
      <c r="R81" s="8">
        <v>1</v>
      </c>
      <c r="S81" s="8">
        <v>0</v>
      </c>
      <c r="T81" s="8">
        <v>0</v>
      </c>
      <c r="U81" s="8">
        <v>0</v>
      </c>
      <c r="V81" s="19">
        <f t="shared" si="2"/>
        <v>762</v>
      </c>
    </row>
    <row r="82" spans="2:22" x14ac:dyDescent="0.15">
      <c r="B82" s="67"/>
      <c r="C82" s="68"/>
      <c r="D82" s="52" t="s">
        <v>21</v>
      </c>
      <c r="E82" s="53">
        <v>0.943442</v>
      </c>
      <c r="F82" s="53">
        <v>2.2617699095292036</v>
      </c>
      <c r="G82" s="53">
        <v>95.374885502286475</v>
      </c>
      <c r="H82" s="54">
        <v>2.4569306015453245</v>
      </c>
      <c r="I82" s="59">
        <v>0</v>
      </c>
      <c r="O82" s="39"/>
      <c r="P82" s="5" t="s">
        <v>22</v>
      </c>
      <c r="Q82" s="8">
        <v>15</v>
      </c>
      <c r="R82" s="8">
        <v>0</v>
      </c>
      <c r="S82" s="8">
        <v>0</v>
      </c>
      <c r="T82" s="8">
        <v>0</v>
      </c>
      <c r="U82" s="8">
        <v>0</v>
      </c>
      <c r="V82" s="19">
        <f t="shared" si="2"/>
        <v>15</v>
      </c>
    </row>
    <row r="83" spans="2:22" ht="14" thickBot="1" x14ac:dyDescent="0.2">
      <c r="B83" s="67"/>
      <c r="C83" s="68"/>
      <c r="D83" s="52" t="s">
        <v>23</v>
      </c>
      <c r="E83" s="53">
        <v>0.943442</v>
      </c>
      <c r="F83" s="53">
        <v>2.2617699095292036</v>
      </c>
      <c r="G83" s="53">
        <v>95.374885502286475</v>
      </c>
      <c r="H83" s="54">
        <v>2.8117472315453242</v>
      </c>
      <c r="I83" s="59">
        <v>0</v>
      </c>
      <c r="O83" s="40"/>
      <c r="P83" s="11" t="s">
        <v>24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20">
        <f t="shared" si="2"/>
        <v>0</v>
      </c>
    </row>
    <row r="84" spans="2:22" x14ac:dyDescent="0.15">
      <c r="B84" s="67"/>
      <c r="C84" s="69" t="s">
        <v>25</v>
      </c>
      <c r="D84" s="55" t="s">
        <v>17</v>
      </c>
      <c r="E84" s="56">
        <v>0.94351800000000008</v>
      </c>
      <c r="F84" s="56">
        <v>2.4379399024824036</v>
      </c>
      <c r="G84" s="56">
        <v>95.363206655936779</v>
      </c>
      <c r="H84" s="57">
        <v>2.1359947818470699</v>
      </c>
      <c r="I84" s="60">
        <v>32255.5</v>
      </c>
      <c r="O84" s="38" t="s">
        <v>45</v>
      </c>
      <c r="P84" s="13" t="s">
        <v>18</v>
      </c>
      <c r="Q84" s="14">
        <v>3576180</v>
      </c>
      <c r="R84" s="14">
        <v>9387</v>
      </c>
      <c r="S84" s="14">
        <v>372</v>
      </c>
      <c r="T84" s="14">
        <v>386</v>
      </c>
      <c r="U84" s="14">
        <v>260</v>
      </c>
      <c r="V84" s="21">
        <f t="shared" si="2"/>
        <v>3586585</v>
      </c>
    </row>
    <row r="85" spans="2:22" x14ac:dyDescent="0.15">
      <c r="B85" s="67"/>
      <c r="C85" s="69"/>
      <c r="D85" s="55" t="s">
        <v>19</v>
      </c>
      <c r="E85" s="56">
        <v>0.94355149999999999</v>
      </c>
      <c r="F85" s="56">
        <v>2.3410499063580037</v>
      </c>
      <c r="G85" s="56">
        <v>95.368008030959459</v>
      </c>
      <c r="H85" s="57">
        <v>2.2673914394956718</v>
      </c>
      <c r="I85" s="60">
        <v>10335.5</v>
      </c>
      <c r="O85" s="39"/>
      <c r="P85" s="5" t="s">
        <v>20</v>
      </c>
      <c r="Q85" s="8">
        <v>1249</v>
      </c>
      <c r="R85" s="8">
        <v>0</v>
      </c>
      <c r="S85" s="8">
        <v>0</v>
      </c>
      <c r="T85" s="8">
        <v>0</v>
      </c>
      <c r="U85" s="8">
        <v>1</v>
      </c>
      <c r="V85" s="19">
        <f t="shared" si="2"/>
        <v>1250</v>
      </c>
    </row>
    <row r="86" spans="2:22" x14ac:dyDescent="0.15">
      <c r="B86" s="67"/>
      <c r="C86" s="69"/>
      <c r="D86" s="55" t="s">
        <v>21</v>
      </c>
      <c r="E86" s="56">
        <v>0.943442</v>
      </c>
      <c r="F86" s="56">
        <v>2.2617699095292036</v>
      </c>
      <c r="G86" s="56">
        <v>95.374885502286475</v>
      </c>
      <c r="H86" s="57">
        <v>2.4569306015453245</v>
      </c>
      <c r="I86" s="60">
        <v>0</v>
      </c>
      <c r="O86" s="39"/>
      <c r="P86" s="5" t="s">
        <v>22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19">
        <f t="shared" si="2"/>
        <v>0</v>
      </c>
    </row>
    <row r="87" spans="2:22" ht="14" thickBot="1" x14ac:dyDescent="0.2">
      <c r="B87" s="67"/>
      <c r="C87" s="69"/>
      <c r="D87" s="55" t="s">
        <v>23</v>
      </c>
      <c r="E87" s="56">
        <v>0.943442</v>
      </c>
      <c r="F87" s="56">
        <v>2.2617699095292036</v>
      </c>
      <c r="G87" s="56">
        <v>95.374885502286475</v>
      </c>
      <c r="H87" s="57">
        <v>2.8117472315453242</v>
      </c>
      <c r="I87" s="60">
        <v>0</v>
      </c>
      <c r="O87" s="40"/>
      <c r="P87" s="11" t="s">
        <v>24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20">
        <f t="shared" si="2"/>
        <v>0</v>
      </c>
    </row>
    <row r="88" spans="2:22" x14ac:dyDescent="0.15">
      <c r="B88" s="65" t="s">
        <v>36</v>
      </c>
      <c r="C88" s="66" t="s">
        <v>16</v>
      </c>
      <c r="D88" s="49" t="s">
        <v>17</v>
      </c>
      <c r="E88" s="50">
        <v>0.68577599999999994</v>
      </c>
      <c r="F88" s="50">
        <v>22.090599540024819</v>
      </c>
      <c r="G88" s="50">
        <v>95.709566040978416</v>
      </c>
      <c r="H88" s="51">
        <v>9.4458724617884293</v>
      </c>
      <c r="I88" s="58">
        <v>18</v>
      </c>
      <c r="O88" s="38" t="s">
        <v>46</v>
      </c>
      <c r="P88" s="13" t="s">
        <v>18</v>
      </c>
      <c r="Q88" s="14">
        <v>145862</v>
      </c>
      <c r="R88" s="14">
        <v>2076</v>
      </c>
      <c r="S88" s="14">
        <v>73</v>
      </c>
      <c r="T88" s="14">
        <v>4</v>
      </c>
      <c r="U88" s="14">
        <v>5</v>
      </c>
      <c r="V88" s="21">
        <f t="shared" si="2"/>
        <v>148020</v>
      </c>
    </row>
    <row r="89" spans="2:22" x14ac:dyDescent="0.15">
      <c r="B89" s="67"/>
      <c r="C89" s="68"/>
      <c r="D89" s="52" t="s">
        <v>19</v>
      </c>
      <c r="E89" s="53">
        <v>0.68577599999999994</v>
      </c>
      <c r="F89" s="53">
        <v>22.090599540024819</v>
      </c>
      <c r="G89" s="53">
        <v>95.709566040978416</v>
      </c>
      <c r="H89" s="54">
        <v>9.7349042667884298</v>
      </c>
      <c r="I89" s="59">
        <v>0</v>
      </c>
      <c r="O89" s="39"/>
      <c r="P89" s="5" t="s">
        <v>20</v>
      </c>
      <c r="Q89" s="8">
        <v>1941</v>
      </c>
      <c r="R89" s="8">
        <v>17</v>
      </c>
      <c r="S89" s="8">
        <v>0</v>
      </c>
      <c r="T89" s="8">
        <v>2</v>
      </c>
      <c r="U89" s="8">
        <v>5</v>
      </c>
      <c r="V89" s="19">
        <f t="shared" si="2"/>
        <v>1965</v>
      </c>
    </row>
    <row r="90" spans="2:22" x14ac:dyDescent="0.15">
      <c r="B90" s="67"/>
      <c r="C90" s="68"/>
      <c r="D90" s="52" t="s">
        <v>21</v>
      </c>
      <c r="E90" s="53">
        <v>0.68577599999999994</v>
      </c>
      <c r="F90" s="53">
        <v>22.090599540024819</v>
      </c>
      <c r="G90" s="53">
        <v>95.709566040978416</v>
      </c>
      <c r="H90" s="54">
        <v>10.106527001788429</v>
      </c>
      <c r="I90" s="59">
        <v>0</v>
      </c>
      <c r="O90" s="39"/>
      <c r="P90" s="5" t="s">
        <v>22</v>
      </c>
      <c r="Q90" s="8">
        <v>39</v>
      </c>
      <c r="R90" s="8">
        <v>2</v>
      </c>
      <c r="S90" s="8">
        <v>1</v>
      </c>
      <c r="T90" s="8">
        <v>0</v>
      </c>
      <c r="U90" s="8">
        <v>1</v>
      </c>
      <c r="V90" s="19">
        <f t="shared" si="2"/>
        <v>43</v>
      </c>
    </row>
    <row r="91" spans="2:22" ht="14" thickBot="1" x14ac:dyDescent="0.2">
      <c r="B91" s="67"/>
      <c r="C91" s="68"/>
      <c r="D91" s="52" t="s">
        <v>23</v>
      </c>
      <c r="E91" s="53">
        <v>0.68577599999999994</v>
      </c>
      <c r="F91" s="53">
        <v>22.090599540024819</v>
      </c>
      <c r="G91" s="53">
        <v>95.709566040978416</v>
      </c>
      <c r="H91" s="54">
        <v>10.684606811788431</v>
      </c>
      <c r="I91" s="59">
        <v>0</v>
      </c>
      <c r="O91" s="40"/>
      <c r="P91" s="11" t="s">
        <v>24</v>
      </c>
      <c r="Q91" s="12">
        <v>0</v>
      </c>
      <c r="R91" s="12">
        <v>0</v>
      </c>
      <c r="S91" s="12">
        <v>0</v>
      </c>
      <c r="T91" s="12">
        <v>0</v>
      </c>
      <c r="U91" s="12">
        <v>0</v>
      </c>
      <c r="V91" s="20">
        <f t="shared" si="2"/>
        <v>0</v>
      </c>
    </row>
    <row r="92" spans="2:22" x14ac:dyDescent="0.15">
      <c r="B92" s="67"/>
      <c r="C92" s="69" t="s">
        <v>25</v>
      </c>
      <c r="D92" s="55" t="s">
        <v>17</v>
      </c>
      <c r="E92" s="56">
        <v>0.685701</v>
      </c>
      <c r="F92" s="56">
        <v>22.09074954001882</v>
      </c>
      <c r="G92" s="56">
        <v>95.709525460846635</v>
      </c>
      <c r="H92" s="57">
        <v>9.4454223020644346</v>
      </c>
      <c r="I92" s="60">
        <v>1</v>
      </c>
      <c r="O92" s="38" t="s">
        <v>47</v>
      </c>
      <c r="P92" s="13" t="s">
        <v>18</v>
      </c>
      <c r="Q92" s="14">
        <v>150758</v>
      </c>
      <c r="R92" s="14">
        <v>2256</v>
      </c>
      <c r="S92" s="14">
        <v>119</v>
      </c>
      <c r="T92" s="14">
        <v>13</v>
      </c>
      <c r="U92" s="14">
        <v>11</v>
      </c>
      <c r="V92" s="21">
        <f t="shared" si="2"/>
        <v>153157</v>
      </c>
    </row>
    <row r="93" spans="2:22" x14ac:dyDescent="0.15">
      <c r="B93" s="67"/>
      <c r="C93" s="69"/>
      <c r="D93" s="55" t="s">
        <v>19</v>
      </c>
      <c r="E93" s="56">
        <v>0.68577599999999994</v>
      </c>
      <c r="F93" s="56">
        <v>22.090599540024819</v>
      </c>
      <c r="G93" s="56">
        <v>95.709566040978416</v>
      </c>
      <c r="H93" s="57">
        <v>9.7349042667884298</v>
      </c>
      <c r="I93" s="60">
        <v>0</v>
      </c>
      <c r="O93" s="39"/>
      <c r="P93" s="5" t="s">
        <v>20</v>
      </c>
      <c r="Q93" s="8">
        <v>651</v>
      </c>
      <c r="R93" s="8">
        <v>4</v>
      </c>
      <c r="S93" s="8">
        <v>5</v>
      </c>
      <c r="T93" s="8">
        <v>2</v>
      </c>
      <c r="U93" s="8">
        <v>2</v>
      </c>
      <c r="V93" s="19">
        <f t="shared" si="2"/>
        <v>664</v>
      </c>
    </row>
    <row r="94" spans="2:22" x14ac:dyDescent="0.15">
      <c r="B94" s="67"/>
      <c r="C94" s="69"/>
      <c r="D94" s="55" t="s">
        <v>21</v>
      </c>
      <c r="E94" s="56">
        <v>0.68577599999999994</v>
      </c>
      <c r="F94" s="56">
        <v>22.090599540024819</v>
      </c>
      <c r="G94" s="56">
        <v>95.709566040978416</v>
      </c>
      <c r="H94" s="57">
        <v>10.106527001788429</v>
      </c>
      <c r="I94" s="60">
        <v>0</v>
      </c>
      <c r="O94" s="39"/>
      <c r="P94" s="5" t="s">
        <v>22</v>
      </c>
      <c r="Q94" s="8">
        <v>74</v>
      </c>
      <c r="R94" s="8">
        <v>0</v>
      </c>
      <c r="S94" s="8">
        <v>0</v>
      </c>
      <c r="T94" s="8">
        <v>0</v>
      </c>
      <c r="U94" s="8">
        <v>1</v>
      </c>
      <c r="V94" s="19">
        <f t="shared" si="2"/>
        <v>75</v>
      </c>
    </row>
    <row r="95" spans="2:22" ht="14" thickBot="1" x14ac:dyDescent="0.2">
      <c r="B95" s="67"/>
      <c r="C95" s="69"/>
      <c r="D95" s="55" t="s">
        <v>23</v>
      </c>
      <c r="E95" s="56">
        <v>0.68577599999999994</v>
      </c>
      <c r="F95" s="56">
        <v>22.090599540024819</v>
      </c>
      <c r="G95" s="56">
        <v>95.709566040978416</v>
      </c>
      <c r="H95" s="57">
        <v>10.684606811788431</v>
      </c>
      <c r="I95" s="60">
        <v>0</v>
      </c>
      <c r="O95" s="40"/>
      <c r="P95" s="11" t="s">
        <v>24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20">
        <f t="shared" si="2"/>
        <v>0</v>
      </c>
    </row>
    <row r="96" spans="2:22" x14ac:dyDescent="0.15">
      <c r="B96" s="65" t="s">
        <v>37</v>
      </c>
      <c r="C96" s="66" t="s">
        <v>16</v>
      </c>
      <c r="D96" s="49" t="s">
        <v>17</v>
      </c>
      <c r="E96" s="50">
        <v>0.56965299999999996</v>
      </c>
      <c r="F96" s="50">
        <v>17.937829999999998</v>
      </c>
      <c r="G96" s="50">
        <v>95.526269880049597</v>
      </c>
      <c r="H96" s="51">
        <v>7.803870500426175</v>
      </c>
      <c r="I96" s="58">
        <v>9789</v>
      </c>
      <c r="O96" s="38" t="s">
        <v>48</v>
      </c>
      <c r="P96" s="13" t="s">
        <v>18</v>
      </c>
      <c r="Q96" s="14">
        <v>154594</v>
      </c>
      <c r="R96" s="14">
        <v>1989</v>
      </c>
      <c r="S96" s="14">
        <v>111</v>
      </c>
      <c r="T96" s="14">
        <v>8</v>
      </c>
      <c r="U96" s="14">
        <v>6</v>
      </c>
      <c r="V96" s="21">
        <f t="shared" si="2"/>
        <v>156708</v>
      </c>
    </row>
    <row r="97" spans="2:22" x14ac:dyDescent="0.15">
      <c r="B97" s="67"/>
      <c r="C97" s="68"/>
      <c r="D97" s="52" t="s">
        <v>19</v>
      </c>
      <c r="E97" s="53">
        <v>0.56978099999999998</v>
      </c>
      <c r="F97" s="53">
        <v>17.937829999999998</v>
      </c>
      <c r="G97" s="53">
        <v>95.526269880049597</v>
      </c>
      <c r="H97" s="54">
        <v>8.1192800128178302</v>
      </c>
      <c r="I97" s="59">
        <v>0</v>
      </c>
      <c r="O97" s="39"/>
      <c r="P97" s="5" t="s">
        <v>20</v>
      </c>
      <c r="Q97" s="8">
        <v>2075</v>
      </c>
      <c r="R97" s="8">
        <v>9</v>
      </c>
      <c r="S97" s="8">
        <v>5</v>
      </c>
      <c r="T97" s="8">
        <v>2</v>
      </c>
      <c r="U97" s="8">
        <v>7</v>
      </c>
      <c r="V97" s="19">
        <f t="shared" si="2"/>
        <v>2098</v>
      </c>
    </row>
    <row r="98" spans="2:22" x14ac:dyDescent="0.15">
      <c r="B98" s="67"/>
      <c r="C98" s="68"/>
      <c r="D98" s="52" t="s">
        <v>21</v>
      </c>
      <c r="E98" s="53">
        <v>0.56978099999999998</v>
      </c>
      <c r="F98" s="53">
        <v>17.937829999999998</v>
      </c>
      <c r="G98" s="53">
        <v>95.526269880049597</v>
      </c>
      <c r="H98" s="54">
        <v>8.5304777278178285</v>
      </c>
      <c r="I98" s="59">
        <v>0</v>
      </c>
      <c r="O98" s="39"/>
      <c r="P98" s="5" t="s">
        <v>22</v>
      </c>
      <c r="Q98" s="8">
        <v>110</v>
      </c>
      <c r="R98" s="8">
        <v>2</v>
      </c>
      <c r="S98" s="8">
        <v>1</v>
      </c>
      <c r="T98" s="8">
        <v>0</v>
      </c>
      <c r="U98" s="8">
        <v>1</v>
      </c>
      <c r="V98" s="19">
        <f t="shared" si="2"/>
        <v>114</v>
      </c>
    </row>
    <row r="99" spans="2:22" ht="14" thickBot="1" x14ac:dyDescent="0.2">
      <c r="B99" s="67"/>
      <c r="C99" s="68"/>
      <c r="D99" s="52" t="s">
        <v>23</v>
      </c>
      <c r="E99" s="53">
        <v>0.56978099999999998</v>
      </c>
      <c r="F99" s="53">
        <v>17.937829999999998</v>
      </c>
      <c r="G99" s="53">
        <v>95.526269880049597</v>
      </c>
      <c r="H99" s="54">
        <v>9.1701186178178293</v>
      </c>
      <c r="I99" s="59">
        <v>0</v>
      </c>
      <c r="O99" s="40"/>
      <c r="P99" s="11" t="s">
        <v>24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20">
        <f t="shared" si="2"/>
        <v>0</v>
      </c>
    </row>
    <row r="100" spans="2:22" x14ac:dyDescent="0.15">
      <c r="B100" s="67"/>
      <c r="C100" s="69" t="s">
        <v>25</v>
      </c>
      <c r="D100" s="55" t="s">
        <v>17</v>
      </c>
      <c r="E100" s="56">
        <v>0.5698669999999999</v>
      </c>
      <c r="F100" s="56">
        <v>17.95299</v>
      </c>
      <c r="G100" s="56">
        <v>95.526130146979014</v>
      </c>
      <c r="H100" s="57">
        <v>7.8038888447844368</v>
      </c>
      <c r="I100" s="60">
        <v>13874</v>
      </c>
      <c r="O100" s="38" t="s">
        <v>49</v>
      </c>
      <c r="P100" s="13" t="s">
        <v>18</v>
      </c>
      <c r="Q100" s="14">
        <v>160287</v>
      </c>
      <c r="R100" s="14">
        <v>2289</v>
      </c>
      <c r="S100" s="14">
        <v>137</v>
      </c>
      <c r="T100" s="14">
        <v>4</v>
      </c>
      <c r="U100" s="14">
        <v>4</v>
      </c>
      <c r="V100" s="21">
        <f t="shared" si="2"/>
        <v>162721</v>
      </c>
    </row>
    <row r="101" spans="2:22" x14ac:dyDescent="0.15">
      <c r="B101" s="67"/>
      <c r="C101" s="69"/>
      <c r="D101" s="55" t="s">
        <v>19</v>
      </c>
      <c r="E101" s="56">
        <v>0.56978099999999998</v>
      </c>
      <c r="F101" s="56">
        <v>17.937829999999998</v>
      </c>
      <c r="G101" s="56">
        <v>95.526269880049597</v>
      </c>
      <c r="H101" s="57">
        <v>8.1192800128178302</v>
      </c>
      <c r="I101" s="60">
        <v>0</v>
      </c>
      <c r="O101" s="39"/>
      <c r="P101" s="5" t="s">
        <v>20</v>
      </c>
      <c r="Q101" s="8">
        <v>495</v>
      </c>
      <c r="R101" s="8">
        <v>1</v>
      </c>
      <c r="S101" s="8">
        <v>2</v>
      </c>
      <c r="T101" s="8">
        <v>0</v>
      </c>
      <c r="U101" s="8">
        <v>1</v>
      </c>
      <c r="V101" s="19">
        <f t="shared" si="2"/>
        <v>499</v>
      </c>
    </row>
    <row r="102" spans="2:22" x14ac:dyDescent="0.15">
      <c r="B102" s="67"/>
      <c r="C102" s="69"/>
      <c r="D102" s="55" t="s">
        <v>21</v>
      </c>
      <c r="E102" s="56">
        <v>0.56978099999999998</v>
      </c>
      <c r="F102" s="56">
        <v>17.937829999999998</v>
      </c>
      <c r="G102" s="56">
        <v>95.526269880049597</v>
      </c>
      <c r="H102" s="57">
        <v>8.5304777278178285</v>
      </c>
      <c r="I102" s="60">
        <v>0</v>
      </c>
      <c r="O102" s="39"/>
      <c r="P102" s="5" t="s">
        <v>22</v>
      </c>
      <c r="Q102" s="8">
        <v>120</v>
      </c>
      <c r="R102" s="8">
        <v>0</v>
      </c>
      <c r="S102" s="8">
        <v>0</v>
      </c>
      <c r="T102" s="8">
        <v>0</v>
      </c>
      <c r="U102" s="8">
        <v>1</v>
      </c>
      <c r="V102" s="19">
        <f t="shared" si="2"/>
        <v>121</v>
      </c>
    </row>
    <row r="103" spans="2:22" ht="14" thickBot="1" x14ac:dyDescent="0.2">
      <c r="B103" s="67"/>
      <c r="C103" s="69"/>
      <c r="D103" s="55" t="s">
        <v>23</v>
      </c>
      <c r="E103" s="56">
        <v>0.56978099999999998</v>
      </c>
      <c r="F103" s="56">
        <v>17.937829999999998</v>
      </c>
      <c r="G103" s="56">
        <v>95.526269880049597</v>
      </c>
      <c r="H103" s="57">
        <v>9.1701186178178293</v>
      </c>
      <c r="I103" s="60">
        <v>0</v>
      </c>
      <c r="O103" s="40"/>
      <c r="P103" s="11" t="s">
        <v>24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20">
        <f t="shared" si="2"/>
        <v>0</v>
      </c>
    </row>
    <row r="104" spans="2:22" x14ac:dyDescent="0.15">
      <c r="B104" s="65" t="s">
        <v>38</v>
      </c>
      <c r="C104" s="66" t="s">
        <v>16</v>
      </c>
      <c r="D104" s="49" t="s">
        <v>17</v>
      </c>
      <c r="E104" s="50">
        <v>0.59898450000000003</v>
      </c>
      <c r="F104" s="50">
        <v>15.732479694665612</v>
      </c>
      <c r="G104" s="50">
        <v>95.337356219574787</v>
      </c>
      <c r="H104" s="51">
        <v>7.0934161808116301</v>
      </c>
      <c r="I104" s="58">
        <v>8718.5</v>
      </c>
      <c r="O104" s="38" t="s">
        <v>50</v>
      </c>
      <c r="P104" s="13" t="s">
        <v>18</v>
      </c>
      <c r="Q104" s="14">
        <v>156885</v>
      </c>
      <c r="R104" s="14">
        <v>2347</v>
      </c>
      <c r="S104" s="14">
        <v>112</v>
      </c>
      <c r="T104" s="14">
        <v>2</v>
      </c>
      <c r="U104" s="14">
        <v>1</v>
      </c>
      <c r="V104" s="21">
        <f t="shared" ref="V104:V135" si="3">SUM(Q104:U104)</f>
        <v>159347</v>
      </c>
    </row>
    <row r="105" spans="2:22" x14ac:dyDescent="0.15">
      <c r="B105" s="67"/>
      <c r="C105" s="68"/>
      <c r="D105" s="52" t="s">
        <v>19</v>
      </c>
      <c r="E105" s="53">
        <v>0.59911049999999999</v>
      </c>
      <c r="F105" s="53">
        <v>15.732479694665612</v>
      </c>
      <c r="G105" s="53">
        <v>95.337356219574787</v>
      </c>
      <c r="H105" s="54">
        <v>7.433874186630347</v>
      </c>
      <c r="I105" s="59">
        <v>0</v>
      </c>
      <c r="O105" s="39"/>
      <c r="P105" s="5" t="s">
        <v>20</v>
      </c>
      <c r="Q105" s="8">
        <v>531</v>
      </c>
      <c r="R105" s="8">
        <v>0</v>
      </c>
      <c r="S105" s="8">
        <v>0</v>
      </c>
      <c r="T105" s="8">
        <v>0</v>
      </c>
      <c r="U105" s="8">
        <v>7</v>
      </c>
      <c r="V105" s="19">
        <f t="shared" si="3"/>
        <v>538</v>
      </c>
    </row>
    <row r="106" spans="2:22" x14ac:dyDescent="0.15">
      <c r="B106" s="67"/>
      <c r="C106" s="68"/>
      <c r="D106" s="52" t="s">
        <v>21</v>
      </c>
      <c r="E106" s="53">
        <v>0.59911049999999999</v>
      </c>
      <c r="F106" s="53">
        <v>15.732479694665612</v>
      </c>
      <c r="G106" s="53">
        <v>95.337356219574787</v>
      </c>
      <c r="H106" s="54">
        <v>7.8766569066303473</v>
      </c>
      <c r="I106" s="59">
        <v>0</v>
      </c>
      <c r="O106" s="39"/>
      <c r="P106" s="5" t="s">
        <v>22</v>
      </c>
      <c r="Q106" s="8">
        <v>110</v>
      </c>
      <c r="R106" s="8">
        <v>2</v>
      </c>
      <c r="S106" s="8">
        <v>0</v>
      </c>
      <c r="T106" s="8">
        <v>0</v>
      </c>
      <c r="U106" s="8">
        <v>0</v>
      </c>
      <c r="V106" s="19">
        <f t="shared" si="3"/>
        <v>112</v>
      </c>
    </row>
    <row r="107" spans="2:22" ht="14" thickBot="1" x14ac:dyDescent="0.2">
      <c r="B107" s="67"/>
      <c r="C107" s="68"/>
      <c r="D107" s="52" t="s">
        <v>23</v>
      </c>
      <c r="E107" s="53">
        <v>0.59911049999999999</v>
      </c>
      <c r="F107" s="53">
        <v>15.732479694665612</v>
      </c>
      <c r="G107" s="53">
        <v>95.337356219574787</v>
      </c>
      <c r="H107" s="54">
        <v>8.5654300266303469</v>
      </c>
      <c r="I107" s="59">
        <v>0</v>
      </c>
      <c r="O107" s="40"/>
      <c r="P107" s="11" t="s">
        <v>24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20">
        <f t="shared" si="3"/>
        <v>0</v>
      </c>
    </row>
    <row r="108" spans="2:22" x14ac:dyDescent="0.15">
      <c r="B108" s="67"/>
      <c r="C108" s="69" t="s">
        <v>25</v>
      </c>
      <c r="D108" s="55" t="s">
        <v>17</v>
      </c>
      <c r="E108" s="56">
        <v>0.59919049999999996</v>
      </c>
      <c r="F108" s="56">
        <v>15.757739694163611</v>
      </c>
      <c r="G108" s="56">
        <v>95.337370586969996</v>
      </c>
      <c r="H108" s="57">
        <v>7.0961679944041265</v>
      </c>
      <c r="I108" s="60">
        <v>10492</v>
      </c>
      <c r="O108" s="38" t="s">
        <v>51</v>
      </c>
      <c r="P108" s="13" t="s">
        <v>18</v>
      </c>
      <c r="Q108" s="14">
        <v>165456</v>
      </c>
      <c r="R108" s="14">
        <v>2378</v>
      </c>
      <c r="S108" s="14">
        <v>114</v>
      </c>
      <c r="T108" s="14">
        <v>7</v>
      </c>
      <c r="U108" s="14">
        <v>5</v>
      </c>
      <c r="V108" s="21">
        <f t="shared" si="3"/>
        <v>167960</v>
      </c>
    </row>
    <row r="109" spans="2:22" x14ac:dyDescent="0.15">
      <c r="B109" s="67"/>
      <c r="C109" s="69"/>
      <c r="D109" s="55" t="s">
        <v>19</v>
      </c>
      <c r="E109" s="56">
        <v>0.59911049999999999</v>
      </c>
      <c r="F109" s="56">
        <v>15.732479694665612</v>
      </c>
      <c r="G109" s="56">
        <v>95.337356219574787</v>
      </c>
      <c r="H109" s="57">
        <v>7.433874186630347</v>
      </c>
      <c r="I109" s="60">
        <v>0</v>
      </c>
      <c r="O109" s="39"/>
      <c r="P109" s="5" t="s">
        <v>20</v>
      </c>
      <c r="Q109" s="8">
        <v>613</v>
      </c>
      <c r="R109" s="8">
        <v>1</v>
      </c>
      <c r="S109" s="8">
        <v>0</v>
      </c>
      <c r="T109" s="8">
        <v>1</v>
      </c>
      <c r="U109" s="8">
        <v>4</v>
      </c>
      <c r="V109" s="19">
        <f t="shared" si="3"/>
        <v>619</v>
      </c>
    </row>
    <row r="110" spans="2:22" x14ac:dyDescent="0.15">
      <c r="B110" s="67"/>
      <c r="C110" s="69"/>
      <c r="D110" s="55" t="s">
        <v>21</v>
      </c>
      <c r="E110" s="56">
        <v>0.59911049999999999</v>
      </c>
      <c r="F110" s="56">
        <v>15.732479694665612</v>
      </c>
      <c r="G110" s="56">
        <v>95.337356219574787</v>
      </c>
      <c r="H110" s="57">
        <v>7.8766569066303473</v>
      </c>
      <c r="I110" s="60">
        <v>0</v>
      </c>
      <c r="O110" s="39"/>
      <c r="P110" s="5" t="s">
        <v>22</v>
      </c>
      <c r="Q110" s="8">
        <v>67</v>
      </c>
      <c r="R110" s="8">
        <v>0</v>
      </c>
      <c r="S110" s="8">
        <v>0</v>
      </c>
      <c r="T110" s="8">
        <v>1</v>
      </c>
      <c r="U110" s="8">
        <v>2</v>
      </c>
      <c r="V110" s="19">
        <f t="shared" si="3"/>
        <v>70</v>
      </c>
    </row>
    <row r="111" spans="2:22" ht="14" thickBot="1" x14ac:dyDescent="0.2">
      <c r="B111" s="67"/>
      <c r="C111" s="69"/>
      <c r="D111" s="55" t="s">
        <v>23</v>
      </c>
      <c r="E111" s="56">
        <v>0.59911049999999999</v>
      </c>
      <c r="F111" s="56">
        <v>15.732479694665612</v>
      </c>
      <c r="G111" s="56">
        <v>95.337356219574787</v>
      </c>
      <c r="H111" s="57">
        <v>8.5654300266303469</v>
      </c>
      <c r="I111" s="60">
        <v>0</v>
      </c>
      <c r="O111" s="40"/>
      <c r="P111" s="11" t="s">
        <v>24</v>
      </c>
      <c r="Q111" s="12">
        <v>0</v>
      </c>
      <c r="R111" s="12">
        <v>0</v>
      </c>
      <c r="S111" s="12">
        <v>0</v>
      </c>
      <c r="T111" s="12">
        <v>0</v>
      </c>
      <c r="U111" s="12">
        <v>0</v>
      </c>
      <c r="V111" s="20">
        <f t="shared" si="3"/>
        <v>0</v>
      </c>
    </row>
    <row r="112" spans="2:22" x14ac:dyDescent="0.15">
      <c r="B112" s="65" t="s">
        <v>39</v>
      </c>
      <c r="C112" s="66" t="s">
        <v>16</v>
      </c>
      <c r="D112" s="49" t="s">
        <v>17</v>
      </c>
      <c r="E112" s="50">
        <v>0.66524799999999995</v>
      </c>
      <c r="F112" s="50">
        <v>17.219889823211005</v>
      </c>
      <c r="G112" s="50">
        <v>95.303790854861234</v>
      </c>
      <c r="H112" s="51">
        <v>7.6307901008655072</v>
      </c>
      <c r="I112" s="58">
        <v>14854</v>
      </c>
      <c r="O112" s="38" t="s">
        <v>52</v>
      </c>
      <c r="P112" s="13" t="s">
        <v>18</v>
      </c>
      <c r="Q112" s="14">
        <v>4735612</v>
      </c>
      <c r="R112" s="14">
        <v>10751</v>
      </c>
      <c r="S112" s="14">
        <v>299</v>
      </c>
      <c r="T112" s="14">
        <v>444</v>
      </c>
      <c r="U112" s="14">
        <v>349</v>
      </c>
      <c r="V112" s="21">
        <f t="shared" si="3"/>
        <v>4747455</v>
      </c>
    </row>
    <row r="113" spans="2:22" x14ac:dyDescent="0.15">
      <c r="B113" s="67"/>
      <c r="C113" s="68"/>
      <c r="D113" s="52" t="s">
        <v>19</v>
      </c>
      <c r="E113" s="53">
        <v>0.73150899999999996</v>
      </c>
      <c r="F113" s="53">
        <v>17.678899646422007</v>
      </c>
      <c r="G113" s="53">
        <v>98.857016559589141</v>
      </c>
      <c r="H113" s="54">
        <v>12.018313798099763</v>
      </c>
      <c r="I113" s="59">
        <v>0</v>
      </c>
      <c r="O113" s="39"/>
      <c r="P113" s="5" t="s">
        <v>20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19">
        <f t="shared" si="3"/>
        <v>0</v>
      </c>
    </row>
    <row r="114" spans="2:22" x14ac:dyDescent="0.15">
      <c r="B114" s="67"/>
      <c r="C114" s="68"/>
      <c r="D114" s="52" t="s">
        <v>21</v>
      </c>
      <c r="E114" s="53">
        <v>0.73150899999999996</v>
      </c>
      <c r="F114" s="53">
        <v>17.678899646422007</v>
      </c>
      <c r="G114" s="53">
        <v>98.857016559589141</v>
      </c>
      <c r="H114" s="54">
        <v>12.488634988099763</v>
      </c>
      <c r="I114" s="59">
        <v>0</v>
      </c>
      <c r="O114" s="39"/>
      <c r="P114" s="5" t="s">
        <v>22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19">
        <f t="shared" si="3"/>
        <v>0</v>
      </c>
    </row>
    <row r="115" spans="2:22" ht="14" thickBot="1" x14ac:dyDescent="0.2">
      <c r="B115" s="67"/>
      <c r="C115" s="68"/>
      <c r="D115" s="52" t="s">
        <v>23</v>
      </c>
      <c r="E115" s="53">
        <v>0.73150899999999996</v>
      </c>
      <c r="F115" s="53">
        <v>17.678899646422007</v>
      </c>
      <c r="G115" s="53">
        <v>98.857016559589141</v>
      </c>
      <c r="H115" s="54">
        <v>13.220245728099764</v>
      </c>
      <c r="I115" s="59">
        <v>0</v>
      </c>
      <c r="O115" s="40"/>
      <c r="P115" s="11" t="s">
        <v>24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20">
        <f t="shared" si="3"/>
        <v>0</v>
      </c>
    </row>
    <row r="116" spans="2:22" x14ac:dyDescent="0.15">
      <c r="B116" s="67"/>
      <c r="C116" s="69" t="s">
        <v>25</v>
      </c>
      <c r="D116" s="55" t="s">
        <v>17</v>
      </c>
      <c r="E116" s="56">
        <v>0.73148199999999997</v>
      </c>
      <c r="F116" s="56">
        <v>17.685639646287207</v>
      </c>
      <c r="G116" s="56">
        <v>98.857034461454958</v>
      </c>
      <c r="H116" s="57">
        <v>11.656192704987928</v>
      </c>
      <c r="I116" s="60">
        <v>8690</v>
      </c>
      <c r="O116" s="38" t="s">
        <v>53</v>
      </c>
      <c r="P116" s="13" t="s">
        <v>18</v>
      </c>
      <c r="Q116" s="14">
        <v>4845366</v>
      </c>
      <c r="R116" s="14">
        <v>11353</v>
      </c>
      <c r="S116" s="14">
        <v>335</v>
      </c>
      <c r="T116" s="14">
        <v>434</v>
      </c>
      <c r="U116" s="14">
        <v>412</v>
      </c>
      <c r="V116" s="21">
        <f t="shared" si="3"/>
        <v>4857900</v>
      </c>
    </row>
    <row r="117" spans="2:22" x14ac:dyDescent="0.15">
      <c r="B117" s="67"/>
      <c r="C117" s="69"/>
      <c r="D117" s="55" t="s">
        <v>19</v>
      </c>
      <c r="E117" s="56">
        <v>0.66551349999999998</v>
      </c>
      <c r="F117" s="56">
        <v>17.219889823211005</v>
      </c>
      <c r="G117" s="56">
        <v>95.303790854861234</v>
      </c>
      <c r="H117" s="57">
        <v>7.9899024687898397</v>
      </c>
      <c r="I117" s="60">
        <v>0</v>
      </c>
      <c r="O117" s="39"/>
      <c r="P117" s="5" t="s">
        <v>20</v>
      </c>
      <c r="Q117" s="8">
        <v>0</v>
      </c>
      <c r="R117" s="8">
        <v>0</v>
      </c>
      <c r="S117" s="8">
        <v>0</v>
      </c>
      <c r="T117" s="8">
        <v>0</v>
      </c>
      <c r="U117" s="8">
        <v>0</v>
      </c>
      <c r="V117" s="19">
        <f t="shared" si="3"/>
        <v>0</v>
      </c>
    </row>
    <row r="118" spans="2:22" x14ac:dyDescent="0.15">
      <c r="B118" s="67"/>
      <c r="C118" s="69"/>
      <c r="D118" s="55" t="s">
        <v>21</v>
      </c>
      <c r="E118" s="56">
        <v>0.66551349999999998</v>
      </c>
      <c r="F118" s="56">
        <v>17.219889823211005</v>
      </c>
      <c r="G118" s="56">
        <v>95.303790854861234</v>
      </c>
      <c r="H118" s="57">
        <v>8.4602239287898389</v>
      </c>
      <c r="I118" s="60">
        <v>0</v>
      </c>
      <c r="O118" s="39"/>
      <c r="P118" s="5" t="s">
        <v>22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19">
        <f t="shared" si="3"/>
        <v>0</v>
      </c>
    </row>
    <row r="119" spans="2:22" ht="14" thickBot="1" x14ac:dyDescent="0.2">
      <c r="B119" s="67"/>
      <c r="C119" s="69"/>
      <c r="D119" s="55" t="s">
        <v>23</v>
      </c>
      <c r="E119" s="56">
        <v>0.66551349999999998</v>
      </c>
      <c r="F119" s="56">
        <v>17.219889823211005</v>
      </c>
      <c r="G119" s="56">
        <v>95.303790854861234</v>
      </c>
      <c r="H119" s="57">
        <v>9.1918350887898406</v>
      </c>
      <c r="I119" s="60">
        <v>0</v>
      </c>
      <c r="O119" s="40"/>
      <c r="P119" s="11" t="s">
        <v>24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20">
        <f t="shared" si="3"/>
        <v>0</v>
      </c>
    </row>
    <row r="120" spans="2:22" x14ac:dyDescent="0.15">
      <c r="B120" s="65" t="s">
        <v>40</v>
      </c>
      <c r="C120" s="66" t="s">
        <v>16</v>
      </c>
      <c r="D120" s="49" t="s">
        <v>17</v>
      </c>
      <c r="E120" s="50">
        <v>0.76916300000000004</v>
      </c>
      <c r="F120" s="50">
        <v>20.469439590611209</v>
      </c>
      <c r="G120" s="50">
        <v>95.541532310455835</v>
      </c>
      <c r="H120" s="51">
        <v>9.1744810424322374</v>
      </c>
      <c r="I120" s="58">
        <v>8</v>
      </c>
      <c r="O120" s="38" t="s">
        <v>54</v>
      </c>
      <c r="P120" s="13" t="s">
        <v>18</v>
      </c>
      <c r="Q120" s="14">
        <v>5057983</v>
      </c>
      <c r="R120" s="14">
        <v>11324</v>
      </c>
      <c r="S120" s="14">
        <v>100</v>
      </c>
      <c r="T120" s="14">
        <v>324</v>
      </c>
      <c r="U120" s="14">
        <v>200</v>
      </c>
      <c r="V120" s="21">
        <f t="shared" si="3"/>
        <v>5069931</v>
      </c>
    </row>
    <row r="121" spans="2:22" x14ac:dyDescent="0.15">
      <c r="B121" s="67"/>
      <c r="C121" s="68"/>
      <c r="D121" s="52" t="s">
        <v>19</v>
      </c>
      <c r="E121" s="53">
        <v>0.76916300000000004</v>
      </c>
      <c r="F121" s="53">
        <v>20.469439590611209</v>
      </c>
      <c r="G121" s="53">
        <v>95.541532310455835</v>
      </c>
      <c r="H121" s="54">
        <v>9.5378363824322374</v>
      </c>
      <c r="I121" s="59">
        <v>0</v>
      </c>
      <c r="O121" s="39"/>
      <c r="P121" s="5" t="s">
        <v>20</v>
      </c>
      <c r="Q121" s="8">
        <v>1578</v>
      </c>
      <c r="R121" s="8">
        <v>15</v>
      </c>
      <c r="S121" s="8">
        <v>5</v>
      </c>
      <c r="T121" s="8">
        <v>0</v>
      </c>
      <c r="U121" s="8">
        <v>0</v>
      </c>
      <c r="V121" s="19">
        <f t="shared" si="3"/>
        <v>1598</v>
      </c>
    </row>
    <row r="122" spans="2:22" x14ac:dyDescent="0.15">
      <c r="B122" s="67"/>
      <c r="C122" s="68"/>
      <c r="D122" s="52" t="s">
        <v>21</v>
      </c>
      <c r="E122" s="53">
        <v>0.76916300000000004</v>
      </c>
      <c r="F122" s="53">
        <v>20.469439590611209</v>
      </c>
      <c r="G122" s="53">
        <v>95.541532310455835</v>
      </c>
      <c r="H122" s="54">
        <v>10.005012162432237</v>
      </c>
      <c r="I122" s="59">
        <v>0</v>
      </c>
      <c r="O122" s="39"/>
      <c r="P122" s="5" t="s">
        <v>22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19">
        <f t="shared" si="3"/>
        <v>0</v>
      </c>
    </row>
    <row r="123" spans="2:22" ht="14" thickBot="1" x14ac:dyDescent="0.2">
      <c r="B123" s="67"/>
      <c r="C123" s="68"/>
      <c r="D123" s="52" t="s">
        <v>23</v>
      </c>
      <c r="E123" s="53">
        <v>0.76916300000000004</v>
      </c>
      <c r="F123" s="53">
        <v>20.469439590611209</v>
      </c>
      <c r="G123" s="53">
        <v>95.541532310455835</v>
      </c>
      <c r="H123" s="54">
        <v>10.731730042432238</v>
      </c>
      <c r="I123" s="59">
        <v>0</v>
      </c>
      <c r="O123" s="40"/>
      <c r="P123" s="11" t="s">
        <v>24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20">
        <f t="shared" si="3"/>
        <v>0</v>
      </c>
    </row>
    <row r="124" spans="2:22" x14ac:dyDescent="0.15">
      <c r="B124" s="67"/>
      <c r="C124" s="69" t="s">
        <v>25</v>
      </c>
      <c r="D124" s="55" t="s">
        <v>17</v>
      </c>
      <c r="E124" s="56">
        <v>0.76916300000000004</v>
      </c>
      <c r="F124" s="56">
        <v>20.469439590611209</v>
      </c>
      <c r="G124" s="56">
        <v>95.541532310455835</v>
      </c>
      <c r="H124" s="57">
        <v>9.174477442432238</v>
      </c>
      <c r="I124" s="60">
        <v>0</v>
      </c>
      <c r="O124" s="38" t="s">
        <v>55</v>
      </c>
      <c r="P124" s="13" t="s">
        <v>18</v>
      </c>
      <c r="Q124" s="14">
        <v>5319241</v>
      </c>
      <c r="R124" s="14">
        <v>13082</v>
      </c>
      <c r="S124" s="14">
        <v>303</v>
      </c>
      <c r="T124" s="14">
        <v>363</v>
      </c>
      <c r="U124" s="14">
        <v>250</v>
      </c>
      <c r="V124" s="21">
        <f t="shared" si="3"/>
        <v>5333239</v>
      </c>
    </row>
    <row r="125" spans="2:22" x14ac:dyDescent="0.15">
      <c r="B125" s="67"/>
      <c r="C125" s="69"/>
      <c r="D125" s="55" t="s">
        <v>19</v>
      </c>
      <c r="E125" s="56">
        <v>0.76916300000000004</v>
      </c>
      <c r="F125" s="56">
        <v>20.469439590611209</v>
      </c>
      <c r="G125" s="56">
        <v>95.541532310455835</v>
      </c>
      <c r="H125" s="57">
        <v>9.5378363824322374</v>
      </c>
      <c r="I125" s="60">
        <v>0</v>
      </c>
      <c r="O125" s="39"/>
      <c r="P125" s="5" t="s">
        <v>20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19">
        <f t="shared" si="3"/>
        <v>0</v>
      </c>
    </row>
    <row r="126" spans="2:22" x14ac:dyDescent="0.15">
      <c r="B126" s="67"/>
      <c r="C126" s="69"/>
      <c r="D126" s="55" t="s">
        <v>21</v>
      </c>
      <c r="E126" s="56">
        <v>0.76916300000000004</v>
      </c>
      <c r="F126" s="56">
        <v>20.469439590611209</v>
      </c>
      <c r="G126" s="56">
        <v>95.541532310455835</v>
      </c>
      <c r="H126" s="57">
        <v>10.005012162432237</v>
      </c>
      <c r="I126" s="60">
        <v>0</v>
      </c>
      <c r="O126" s="39"/>
      <c r="P126" s="5" t="s">
        <v>22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19">
        <f t="shared" si="3"/>
        <v>0</v>
      </c>
    </row>
    <row r="127" spans="2:22" ht="14" thickBot="1" x14ac:dyDescent="0.2">
      <c r="B127" s="67"/>
      <c r="C127" s="69"/>
      <c r="D127" s="55" t="s">
        <v>23</v>
      </c>
      <c r="E127" s="56">
        <v>0.76916300000000004</v>
      </c>
      <c r="F127" s="56">
        <v>20.469439590611209</v>
      </c>
      <c r="G127" s="56">
        <v>95.541532310455835</v>
      </c>
      <c r="H127" s="57">
        <v>10.731730042432238</v>
      </c>
      <c r="I127" s="60">
        <v>0</v>
      </c>
      <c r="O127" s="40"/>
      <c r="P127" s="11" t="s">
        <v>24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20">
        <f t="shared" si="3"/>
        <v>0</v>
      </c>
    </row>
    <row r="128" spans="2:22" x14ac:dyDescent="0.15">
      <c r="B128" s="65" t="s">
        <v>41</v>
      </c>
      <c r="C128" s="66" t="s">
        <v>16</v>
      </c>
      <c r="D128" s="49" t="s">
        <v>17</v>
      </c>
      <c r="E128" s="50">
        <v>0.80935699999999999</v>
      </c>
      <c r="F128" s="50">
        <v>19.36699961266001</v>
      </c>
      <c r="G128" s="50">
        <v>95.302596359660782</v>
      </c>
      <c r="H128" s="51">
        <v>8.4484015390172917</v>
      </c>
      <c r="I128" s="58">
        <v>0</v>
      </c>
      <c r="O128" s="38" t="s">
        <v>56</v>
      </c>
      <c r="P128" s="13" t="s">
        <v>18</v>
      </c>
      <c r="Q128" s="14">
        <v>5349965</v>
      </c>
      <c r="R128" s="14">
        <v>12568</v>
      </c>
      <c r="S128" s="14">
        <v>95</v>
      </c>
      <c r="T128" s="14">
        <v>372</v>
      </c>
      <c r="U128" s="14">
        <v>252</v>
      </c>
      <c r="V128" s="21">
        <f t="shared" si="3"/>
        <v>5363252</v>
      </c>
    </row>
    <row r="129" spans="2:22" x14ac:dyDescent="0.15">
      <c r="B129" s="67"/>
      <c r="C129" s="68"/>
      <c r="D129" s="52" t="s">
        <v>19</v>
      </c>
      <c r="E129" s="53">
        <v>0.80935699999999999</v>
      </c>
      <c r="F129" s="53">
        <v>19.36699961266001</v>
      </c>
      <c r="G129" s="53">
        <v>95.302596359660782</v>
      </c>
      <c r="H129" s="54">
        <v>8.8440962090172928</v>
      </c>
      <c r="I129" s="59">
        <v>0</v>
      </c>
      <c r="O129" s="39"/>
      <c r="P129" s="5" t="s">
        <v>20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19">
        <f t="shared" si="3"/>
        <v>0</v>
      </c>
    </row>
    <row r="130" spans="2:22" x14ac:dyDescent="0.15">
      <c r="B130" s="67"/>
      <c r="C130" s="68"/>
      <c r="D130" s="52" t="s">
        <v>21</v>
      </c>
      <c r="E130" s="53">
        <v>0.80935699999999999</v>
      </c>
      <c r="F130" s="53">
        <v>19.36699961266001</v>
      </c>
      <c r="G130" s="53">
        <v>95.302596359660782</v>
      </c>
      <c r="H130" s="54">
        <v>9.3528464990172928</v>
      </c>
      <c r="I130" s="59">
        <v>0</v>
      </c>
      <c r="O130" s="39"/>
      <c r="P130" s="5" t="s">
        <v>22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19">
        <f t="shared" si="3"/>
        <v>0</v>
      </c>
    </row>
    <row r="131" spans="2:22" ht="14" thickBot="1" x14ac:dyDescent="0.2">
      <c r="B131" s="67"/>
      <c r="C131" s="68"/>
      <c r="D131" s="52" t="s">
        <v>23</v>
      </c>
      <c r="E131" s="53">
        <v>0.80935699999999999</v>
      </c>
      <c r="F131" s="53">
        <v>19.36699961266001</v>
      </c>
      <c r="G131" s="53">
        <v>95.302596359660782</v>
      </c>
      <c r="H131" s="54">
        <v>10.144235839017293</v>
      </c>
      <c r="I131" s="59">
        <v>0</v>
      </c>
      <c r="O131" s="40"/>
      <c r="P131" s="11" t="s">
        <v>24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20">
        <f t="shared" si="3"/>
        <v>0</v>
      </c>
    </row>
    <row r="132" spans="2:22" x14ac:dyDescent="0.15">
      <c r="B132" s="67"/>
      <c r="C132" s="69" t="s">
        <v>25</v>
      </c>
      <c r="D132" s="55" t="s">
        <v>17</v>
      </c>
      <c r="E132" s="56">
        <v>0.80935699999999999</v>
      </c>
      <c r="F132" s="56">
        <v>19.36699961266001</v>
      </c>
      <c r="G132" s="56">
        <v>95.302596359660782</v>
      </c>
      <c r="H132" s="57">
        <v>8.4484015390172917</v>
      </c>
      <c r="I132" s="60">
        <v>0</v>
      </c>
      <c r="O132" s="38" t="s">
        <v>57</v>
      </c>
      <c r="P132" s="13" t="s">
        <v>18</v>
      </c>
      <c r="Q132" s="14">
        <v>5551093</v>
      </c>
      <c r="R132" s="14">
        <v>13180</v>
      </c>
      <c r="S132" s="14">
        <v>52</v>
      </c>
      <c r="T132" s="14">
        <v>338</v>
      </c>
      <c r="U132" s="14">
        <v>42</v>
      </c>
      <c r="V132" s="21">
        <f t="shared" si="3"/>
        <v>5564705</v>
      </c>
    </row>
    <row r="133" spans="2:22" x14ac:dyDescent="0.15">
      <c r="B133" s="67"/>
      <c r="C133" s="69"/>
      <c r="D133" s="55" t="s">
        <v>19</v>
      </c>
      <c r="E133" s="56">
        <v>0.80935699999999999</v>
      </c>
      <c r="F133" s="56">
        <v>19.36699961266001</v>
      </c>
      <c r="G133" s="56">
        <v>95.302596359660782</v>
      </c>
      <c r="H133" s="57">
        <v>8.8440962090172928</v>
      </c>
      <c r="I133" s="60">
        <v>0</v>
      </c>
      <c r="O133" s="39"/>
      <c r="P133" s="5" t="s">
        <v>20</v>
      </c>
      <c r="Q133" s="8">
        <v>14</v>
      </c>
      <c r="R133" s="8">
        <v>0</v>
      </c>
      <c r="S133" s="8">
        <v>0</v>
      </c>
      <c r="T133" s="8">
        <v>0</v>
      </c>
      <c r="U133" s="8">
        <v>0</v>
      </c>
      <c r="V133" s="19">
        <f t="shared" si="3"/>
        <v>14</v>
      </c>
    </row>
    <row r="134" spans="2:22" x14ac:dyDescent="0.15">
      <c r="B134" s="67"/>
      <c r="C134" s="69"/>
      <c r="D134" s="55" t="s">
        <v>21</v>
      </c>
      <c r="E134" s="56">
        <v>0.80935699999999999</v>
      </c>
      <c r="F134" s="56">
        <v>19.36699961266001</v>
      </c>
      <c r="G134" s="56">
        <v>95.302596359660782</v>
      </c>
      <c r="H134" s="57">
        <v>9.3528464990172928</v>
      </c>
      <c r="I134" s="60">
        <v>0</v>
      </c>
      <c r="O134" s="39"/>
      <c r="P134" s="5" t="s">
        <v>22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19">
        <f t="shared" si="3"/>
        <v>0</v>
      </c>
    </row>
    <row r="135" spans="2:22" ht="14" thickBot="1" x14ac:dyDescent="0.2">
      <c r="B135" s="67"/>
      <c r="C135" s="69"/>
      <c r="D135" s="55" t="s">
        <v>23</v>
      </c>
      <c r="E135" s="56">
        <v>0.80935699999999999</v>
      </c>
      <c r="F135" s="56">
        <v>19.36699961266001</v>
      </c>
      <c r="G135" s="56">
        <v>95.302596359660782</v>
      </c>
      <c r="H135" s="57">
        <v>10.144235839017293</v>
      </c>
      <c r="I135" s="60">
        <v>0</v>
      </c>
      <c r="O135" s="40"/>
      <c r="P135" s="11" t="s">
        <v>24</v>
      </c>
      <c r="Q135" s="12">
        <v>0</v>
      </c>
      <c r="R135" s="12">
        <v>0</v>
      </c>
      <c r="S135" s="12">
        <v>0</v>
      </c>
      <c r="T135" s="12">
        <v>0</v>
      </c>
      <c r="U135" s="12">
        <v>0</v>
      </c>
      <c r="V135" s="20">
        <f t="shared" si="3"/>
        <v>0</v>
      </c>
    </row>
    <row r="136" spans="2:22" x14ac:dyDescent="0.15">
      <c r="B136" s="65" t="s">
        <v>42</v>
      </c>
      <c r="C136" s="66" t="s">
        <v>16</v>
      </c>
      <c r="D136" s="49" t="s">
        <v>17</v>
      </c>
      <c r="E136" s="50">
        <v>0.77219199999999999</v>
      </c>
      <c r="F136" s="50">
        <v>20.324739999999998</v>
      </c>
      <c r="G136" s="50">
        <v>95.327397655221262</v>
      </c>
      <c r="H136" s="51">
        <v>8.980147054000593</v>
      </c>
      <c r="I136" s="58">
        <v>0</v>
      </c>
      <c r="O136" s="38" t="s">
        <v>58</v>
      </c>
      <c r="P136" s="13" t="s">
        <v>18</v>
      </c>
      <c r="Q136" s="14">
        <v>5583723</v>
      </c>
      <c r="R136" s="14">
        <v>12902</v>
      </c>
      <c r="S136" s="14">
        <v>709</v>
      </c>
      <c r="T136" s="14">
        <v>351</v>
      </c>
      <c r="U136" s="14">
        <v>48</v>
      </c>
      <c r="V136" s="21">
        <f t="shared" ref="V136:V167" si="4">SUM(Q136:U136)</f>
        <v>5597733</v>
      </c>
    </row>
    <row r="137" spans="2:22" x14ac:dyDescent="0.15">
      <c r="B137" s="67"/>
      <c r="C137" s="68"/>
      <c r="D137" s="52" t="s">
        <v>19</v>
      </c>
      <c r="E137" s="53">
        <v>0.77219199999999999</v>
      </c>
      <c r="F137" s="53">
        <v>20.324739999999998</v>
      </c>
      <c r="G137" s="53">
        <v>95.327397655221262</v>
      </c>
      <c r="H137" s="54">
        <v>9.3861059290005944</v>
      </c>
      <c r="I137" s="59">
        <v>0</v>
      </c>
      <c r="O137" s="39"/>
      <c r="P137" s="5" t="s">
        <v>20</v>
      </c>
      <c r="Q137" s="8">
        <v>20</v>
      </c>
      <c r="R137" s="8">
        <v>0</v>
      </c>
      <c r="S137" s="8">
        <v>0</v>
      </c>
      <c r="T137" s="8">
        <v>0</v>
      </c>
      <c r="U137" s="8">
        <v>1</v>
      </c>
      <c r="V137" s="19">
        <f t="shared" si="4"/>
        <v>21</v>
      </c>
    </row>
    <row r="138" spans="2:22" x14ac:dyDescent="0.15">
      <c r="B138" s="67"/>
      <c r="C138" s="68"/>
      <c r="D138" s="52" t="s">
        <v>21</v>
      </c>
      <c r="E138" s="53">
        <v>0.77219199999999999</v>
      </c>
      <c r="F138" s="53">
        <v>20.324739999999998</v>
      </c>
      <c r="G138" s="53">
        <v>95.327397655221262</v>
      </c>
      <c r="H138" s="54">
        <v>9.9080530540005949</v>
      </c>
      <c r="I138" s="59">
        <v>0</v>
      </c>
      <c r="O138" s="39"/>
      <c r="P138" s="5" t="s">
        <v>22</v>
      </c>
      <c r="Q138" s="8">
        <v>0</v>
      </c>
      <c r="R138" s="8">
        <v>0</v>
      </c>
      <c r="S138" s="8">
        <v>0</v>
      </c>
      <c r="T138" s="8">
        <v>0</v>
      </c>
      <c r="U138" s="8">
        <v>0</v>
      </c>
      <c r="V138" s="19">
        <f t="shared" si="4"/>
        <v>0</v>
      </c>
    </row>
    <row r="139" spans="2:22" ht="14" thickBot="1" x14ac:dyDescent="0.2">
      <c r="B139" s="67"/>
      <c r="C139" s="68"/>
      <c r="D139" s="52" t="s">
        <v>23</v>
      </c>
      <c r="E139" s="53">
        <v>0.77219199999999999</v>
      </c>
      <c r="F139" s="53">
        <v>20.324739999999998</v>
      </c>
      <c r="G139" s="53">
        <v>95.327397655221262</v>
      </c>
      <c r="H139" s="54">
        <v>10.719970804000596</v>
      </c>
      <c r="I139" s="59">
        <v>0</v>
      </c>
      <c r="O139" s="40"/>
      <c r="P139" s="11" t="s">
        <v>24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20">
        <f t="shared" si="4"/>
        <v>0</v>
      </c>
    </row>
    <row r="140" spans="2:22" x14ac:dyDescent="0.15">
      <c r="B140" s="67"/>
      <c r="C140" s="69" t="s">
        <v>25</v>
      </c>
      <c r="D140" s="55" t="s">
        <v>17</v>
      </c>
      <c r="E140" s="56">
        <v>0.77219199999999999</v>
      </c>
      <c r="F140" s="56">
        <v>20.324739999999998</v>
      </c>
      <c r="G140" s="56">
        <v>95.327397655221262</v>
      </c>
      <c r="H140" s="57">
        <v>8.980147054000593</v>
      </c>
      <c r="I140" s="60">
        <v>0</v>
      </c>
      <c r="O140" s="38" t="s">
        <v>59</v>
      </c>
      <c r="P140" s="13" t="s">
        <v>18</v>
      </c>
      <c r="Q140" s="14">
        <v>5752322</v>
      </c>
      <c r="R140" s="14">
        <v>12545</v>
      </c>
      <c r="S140" s="14">
        <v>637</v>
      </c>
      <c r="T140" s="14">
        <v>405</v>
      </c>
      <c r="U140" s="14">
        <v>65</v>
      </c>
      <c r="V140" s="21">
        <f t="shared" si="4"/>
        <v>5765974</v>
      </c>
    </row>
    <row r="141" spans="2:22" x14ac:dyDescent="0.15">
      <c r="B141" s="67"/>
      <c r="C141" s="69"/>
      <c r="D141" s="55" t="s">
        <v>19</v>
      </c>
      <c r="E141" s="56">
        <v>0.77219199999999999</v>
      </c>
      <c r="F141" s="56">
        <v>20.324739999999998</v>
      </c>
      <c r="G141" s="56">
        <v>95.327397655221262</v>
      </c>
      <c r="H141" s="57">
        <v>9.3861059290005944</v>
      </c>
      <c r="I141" s="60">
        <v>0</v>
      </c>
      <c r="O141" s="39"/>
      <c r="P141" s="5" t="s">
        <v>20</v>
      </c>
      <c r="Q141" s="8">
        <v>10</v>
      </c>
      <c r="R141" s="8">
        <v>0</v>
      </c>
      <c r="S141" s="8">
        <v>0</v>
      </c>
      <c r="T141" s="8">
        <v>0</v>
      </c>
      <c r="U141" s="8">
        <v>0</v>
      </c>
      <c r="V141" s="19">
        <f t="shared" si="4"/>
        <v>10</v>
      </c>
    </row>
    <row r="142" spans="2:22" x14ac:dyDescent="0.15">
      <c r="B142" s="67"/>
      <c r="C142" s="69"/>
      <c r="D142" s="55" t="s">
        <v>21</v>
      </c>
      <c r="E142" s="56">
        <v>0.77219199999999999</v>
      </c>
      <c r="F142" s="56">
        <v>20.324739999999998</v>
      </c>
      <c r="G142" s="56">
        <v>95.327397655221262</v>
      </c>
      <c r="H142" s="57">
        <v>9.9080530540005949</v>
      </c>
      <c r="I142" s="60">
        <v>0</v>
      </c>
      <c r="O142" s="39"/>
      <c r="P142" s="5" t="s">
        <v>22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19">
        <f t="shared" si="4"/>
        <v>0</v>
      </c>
    </row>
    <row r="143" spans="2:22" ht="14" thickBot="1" x14ac:dyDescent="0.2">
      <c r="B143" s="67"/>
      <c r="C143" s="69"/>
      <c r="D143" s="55" t="s">
        <v>23</v>
      </c>
      <c r="E143" s="56">
        <v>0.77219199999999999</v>
      </c>
      <c r="F143" s="56">
        <v>20.324739999999998</v>
      </c>
      <c r="G143" s="56">
        <v>95.327397655221262</v>
      </c>
      <c r="H143" s="57">
        <v>10.719970804000596</v>
      </c>
      <c r="I143" s="60">
        <v>0</v>
      </c>
      <c r="O143" s="40"/>
      <c r="P143" s="11" t="s">
        <v>24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20">
        <f t="shared" si="4"/>
        <v>0</v>
      </c>
    </row>
    <row r="144" spans="2:22" x14ac:dyDescent="0.15">
      <c r="B144" s="65" t="s">
        <v>43</v>
      </c>
      <c r="C144" s="66" t="s">
        <v>16</v>
      </c>
      <c r="D144" s="49" t="s">
        <v>17</v>
      </c>
      <c r="E144" s="50">
        <v>0.93152250000000003</v>
      </c>
      <c r="F144" s="50">
        <v>3.3751199999999999</v>
      </c>
      <c r="G144" s="50">
        <v>95.429655285004571</v>
      </c>
      <c r="H144" s="51">
        <v>2.5394926548904611</v>
      </c>
      <c r="I144" s="58">
        <v>16188.5</v>
      </c>
      <c r="O144" s="38" t="s">
        <v>60</v>
      </c>
      <c r="P144" s="13" t="s">
        <v>18</v>
      </c>
      <c r="Q144" s="14">
        <v>5781911</v>
      </c>
      <c r="R144" s="14">
        <v>13463</v>
      </c>
      <c r="S144" s="14">
        <v>596</v>
      </c>
      <c r="T144" s="14">
        <v>353</v>
      </c>
      <c r="U144" s="14">
        <v>37</v>
      </c>
      <c r="V144" s="21">
        <f t="shared" si="4"/>
        <v>5796360</v>
      </c>
    </row>
    <row r="145" spans="2:22" x14ac:dyDescent="0.15">
      <c r="B145" s="67"/>
      <c r="C145" s="68"/>
      <c r="D145" s="52" t="s">
        <v>19</v>
      </c>
      <c r="E145" s="53">
        <v>0.93208400000000002</v>
      </c>
      <c r="F145" s="53">
        <v>3.3751199999999999</v>
      </c>
      <c r="G145" s="53">
        <v>95.429655285004571</v>
      </c>
      <c r="H145" s="54">
        <v>2.7298753956958026</v>
      </c>
      <c r="I145" s="59">
        <v>14</v>
      </c>
      <c r="O145" s="39"/>
      <c r="P145" s="5" t="s">
        <v>20</v>
      </c>
      <c r="Q145" s="8">
        <v>21</v>
      </c>
      <c r="R145" s="8">
        <v>0</v>
      </c>
      <c r="S145" s="8">
        <v>0</v>
      </c>
      <c r="T145" s="8">
        <v>0</v>
      </c>
      <c r="U145" s="8">
        <v>2</v>
      </c>
      <c r="V145" s="19">
        <f t="shared" si="4"/>
        <v>23</v>
      </c>
    </row>
    <row r="146" spans="2:22" x14ac:dyDescent="0.15">
      <c r="B146" s="67"/>
      <c r="C146" s="68"/>
      <c r="D146" s="52" t="s">
        <v>21</v>
      </c>
      <c r="E146" s="53">
        <v>0.93208500000000005</v>
      </c>
      <c r="F146" s="53">
        <v>3.3751199999999999</v>
      </c>
      <c r="G146" s="53">
        <v>95.429655285004571</v>
      </c>
      <c r="H146" s="54">
        <v>2.9840152284112298</v>
      </c>
      <c r="I146" s="59">
        <v>0</v>
      </c>
      <c r="O146" s="39"/>
      <c r="P146" s="5" t="s">
        <v>22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19">
        <f t="shared" si="4"/>
        <v>0</v>
      </c>
    </row>
    <row r="147" spans="2:22" ht="14" thickBot="1" x14ac:dyDescent="0.2">
      <c r="B147" s="67"/>
      <c r="C147" s="68"/>
      <c r="D147" s="52" t="s">
        <v>23</v>
      </c>
      <c r="E147" s="53">
        <v>0.93208500000000005</v>
      </c>
      <c r="F147" s="53">
        <v>3.3751199999999999</v>
      </c>
      <c r="G147" s="53">
        <v>95.429655285004571</v>
      </c>
      <c r="H147" s="54">
        <v>3.3793552084112304</v>
      </c>
      <c r="I147" s="59">
        <v>0</v>
      </c>
      <c r="O147" s="40"/>
      <c r="P147" s="11" t="s">
        <v>24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20">
        <f t="shared" si="4"/>
        <v>0</v>
      </c>
    </row>
    <row r="148" spans="2:22" x14ac:dyDescent="0.15">
      <c r="B148" s="67"/>
      <c r="C148" s="69" t="s">
        <v>25</v>
      </c>
      <c r="D148" s="55" t="s">
        <v>17</v>
      </c>
      <c r="E148" s="56">
        <v>0.93202600000000002</v>
      </c>
      <c r="F148" s="56">
        <v>3.3907499999999997</v>
      </c>
      <c r="G148" s="56">
        <v>95.430557908075684</v>
      </c>
      <c r="H148" s="57">
        <v>2.539562029323585</v>
      </c>
      <c r="I148" s="60">
        <v>13387</v>
      </c>
      <c r="O148" s="38" t="s">
        <v>61</v>
      </c>
      <c r="P148" s="13" t="s">
        <v>18</v>
      </c>
      <c r="Q148" s="14">
        <v>6188827</v>
      </c>
      <c r="R148" s="14">
        <v>12702</v>
      </c>
      <c r="S148" s="14">
        <v>758</v>
      </c>
      <c r="T148" s="14">
        <v>435</v>
      </c>
      <c r="U148" s="14">
        <v>2</v>
      </c>
      <c r="V148" s="21">
        <f t="shared" si="4"/>
        <v>6202724</v>
      </c>
    </row>
    <row r="149" spans="2:22" x14ac:dyDescent="0.15">
      <c r="B149" s="67"/>
      <c r="C149" s="69"/>
      <c r="D149" s="55" t="s">
        <v>19</v>
      </c>
      <c r="E149" s="56">
        <v>0.93208500000000005</v>
      </c>
      <c r="F149" s="56">
        <v>3.3751199999999999</v>
      </c>
      <c r="G149" s="56">
        <v>95.429655285004571</v>
      </c>
      <c r="H149" s="57">
        <v>2.72986809841123</v>
      </c>
      <c r="I149" s="60">
        <v>8</v>
      </c>
      <c r="O149" s="39"/>
      <c r="P149" s="5" t="s">
        <v>20</v>
      </c>
      <c r="Q149" s="8">
        <v>3</v>
      </c>
      <c r="R149" s="8">
        <v>0</v>
      </c>
      <c r="S149" s="8">
        <v>0</v>
      </c>
      <c r="T149" s="8">
        <v>0</v>
      </c>
      <c r="U149" s="8">
        <v>0</v>
      </c>
      <c r="V149" s="19">
        <f t="shared" si="4"/>
        <v>3</v>
      </c>
    </row>
    <row r="150" spans="2:22" x14ac:dyDescent="0.15">
      <c r="B150" s="67"/>
      <c r="C150" s="69"/>
      <c r="D150" s="55" t="s">
        <v>21</v>
      </c>
      <c r="E150" s="56">
        <v>0.93208500000000005</v>
      </c>
      <c r="F150" s="56">
        <v>3.3751199999999999</v>
      </c>
      <c r="G150" s="56">
        <v>95.429655285004571</v>
      </c>
      <c r="H150" s="57">
        <v>2.9840152284112298</v>
      </c>
      <c r="I150" s="60">
        <v>0</v>
      </c>
      <c r="O150" s="39"/>
      <c r="P150" s="5" t="s">
        <v>22</v>
      </c>
      <c r="Q150" s="8">
        <v>1</v>
      </c>
      <c r="R150" s="8">
        <v>0</v>
      </c>
      <c r="S150" s="8">
        <v>0</v>
      </c>
      <c r="T150" s="8">
        <v>0</v>
      </c>
      <c r="U150" s="8">
        <v>0</v>
      </c>
      <c r="V150" s="19">
        <f t="shared" si="4"/>
        <v>1</v>
      </c>
    </row>
    <row r="151" spans="2:22" ht="14" thickBot="1" x14ac:dyDescent="0.2">
      <c r="B151" s="67"/>
      <c r="C151" s="69"/>
      <c r="D151" s="55" t="s">
        <v>23</v>
      </c>
      <c r="E151" s="56">
        <v>0.93208500000000005</v>
      </c>
      <c r="F151" s="56">
        <v>3.3751199999999999</v>
      </c>
      <c r="G151" s="56">
        <v>95.429655285004571</v>
      </c>
      <c r="H151" s="57">
        <v>3.3793552084112304</v>
      </c>
      <c r="I151" s="60">
        <v>0</v>
      </c>
      <c r="O151" s="40"/>
      <c r="P151" s="11" t="s">
        <v>24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20">
        <f t="shared" si="4"/>
        <v>0</v>
      </c>
    </row>
    <row r="152" spans="2:22" x14ac:dyDescent="0.15">
      <c r="B152" s="65" t="s">
        <v>44</v>
      </c>
      <c r="C152" s="66" t="s">
        <v>16</v>
      </c>
      <c r="D152" s="49" t="s">
        <v>17</v>
      </c>
      <c r="E152" s="50">
        <v>0.95387050000000007</v>
      </c>
      <c r="F152" s="50">
        <v>3.6619398967568033</v>
      </c>
      <c r="G152" s="50">
        <v>95.313077261444846</v>
      </c>
      <c r="H152" s="51">
        <v>2.6498932670357216</v>
      </c>
      <c r="I152" s="58">
        <v>30537.5</v>
      </c>
      <c r="O152" s="38" t="s">
        <v>62</v>
      </c>
      <c r="P152" s="13" t="s">
        <v>18</v>
      </c>
      <c r="Q152" s="14">
        <v>5130532</v>
      </c>
      <c r="R152" s="14">
        <v>13351</v>
      </c>
      <c r="S152" s="14">
        <v>3755</v>
      </c>
      <c r="T152" s="14">
        <v>46</v>
      </c>
      <c r="U152" s="14">
        <v>131</v>
      </c>
      <c r="V152" s="21">
        <f t="shared" si="4"/>
        <v>5147815</v>
      </c>
    </row>
    <row r="153" spans="2:22" x14ac:dyDescent="0.15">
      <c r="B153" s="67"/>
      <c r="C153" s="68"/>
      <c r="D153" s="52" t="s">
        <v>19</v>
      </c>
      <c r="E153" s="53">
        <v>0.95488300000000004</v>
      </c>
      <c r="F153" s="53">
        <v>3.6619398967568033</v>
      </c>
      <c r="G153" s="53">
        <v>95.313077261444846</v>
      </c>
      <c r="H153" s="54">
        <v>2.8349649942464068</v>
      </c>
      <c r="I153" s="59">
        <v>1826</v>
      </c>
      <c r="O153" s="39"/>
      <c r="P153" s="5" t="s">
        <v>20</v>
      </c>
      <c r="Q153" s="8">
        <v>374</v>
      </c>
      <c r="R153" s="8">
        <v>2</v>
      </c>
      <c r="S153" s="8">
        <v>0</v>
      </c>
      <c r="T153" s="8">
        <v>0</v>
      </c>
      <c r="U153" s="8">
        <v>12</v>
      </c>
      <c r="V153" s="19">
        <f t="shared" si="4"/>
        <v>388</v>
      </c>
    </row>
    <row r="154" spans="2:22" x14ac:dyDescent="0.15">
      <c r="B154" s="67"/>
      <c r="C154" s="68"/>
      <c r="D154" s="52" t="s">
        <v>21</v>
      </c>
      <c r="E154" s="53">
        <v>0.95498299999999992</v>
      </c>
      <c r="F154" s="53">
        <v>3.6619398967568033</v>
      </c>
      <c r="G154" s="53">
        <v>95.313077261444846</v>
      </c>
      <c r="H154" s="54">
        <v>3.0884319495384922</v>
      </c>
      <c r="I154" s="59">
        <v>0</v>
      </c>
      <c r="O154" s="39"/>
      <c r="P154" s="5" t="s">
        <v>22</v>
      </c>
      <c r="Q154" s="8">
        <v>9</v>
      </c>
      <c r="R154" s="8">
        <v>0</v>
      </c>
      <c r="S154" s="8">
        <v>0</v>
      </c>
      <c r="T154" s="8">
        <v>0</v>
      </c>
      <c r="U154" s="8">
        <v>0</v>
      </c>
      <c r="V154" s="19">
        <f t="shared" si="4"/>
        <v>9</v>
      </c>
    </row>
    <row r="155" spans="2:22" ht="14" thickBot="1" x14ac:dyDescent="0.2">
      <c r="B155" s="67"/>
      <c r="C155" s="68"/>
      <c r="D155" s="52" t="s">
        <v>23</v>
      </c>
      <c r="E155" s="53">
        <v>0.95498299999999992</v>
      </c>
      <c r="F155" s="53">
        <v>3.6619398967568033</v>
      </c>
      <c r="G155" s="53">
        <v>95.313077261444846</v>
      </c>
      <c r="H155" s="54">
        <v>3.484193469538492</v>
      </c>
      <c r="I155" s="59">
        <v>0</v>
      </c>
      <c r="O155" s="40"/>
      <c r="P155" s="11" t="s">
        <v>24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  <c r="V155" s="20">
        <f t="shared" si="4"/>
        <v>0</v>
      </c>
    </row>
    <row r="156" spans="2:22" x14ac:dyDescent="0.15">
      <c r="B156" s="67"/>
      <c r="C156" s="69" t="s">
        <v>25</v>
      </c>
      <c r="D156" s="55" t="s">
        <v>17</v>
      </c>
      <c r="E156" s="56">
        <v>0.95479249999999993</v>
      </c>
      <c r="F156" s="56">
        <v>3.6808298961764034</v>
      </c>
      <c r="G156" s="56">
        <v>95.316922165947631</v>
      </c>
      <c r="H156" s="57">
        <v>2.6505660888982545</v>
      </c>
      <c r="I156" s="60">
        <v>30672.5</v>
      </c>
      <c r="O156" s="38" t="s">
        <v>63</v>
      </c>
      <c r="P156" s="13" t="s">
        <v>18</v>
      </c>
      <c r="Q156" s="14">
        <v>5196214</v>
      </c>
      <c r="R156" s="14">
        <v>12751</v>
      </c>
      <c r="S156" s="14">
        <v>3488</v>
      </c>
      <c r="T156" s="14">
        <v>44</v>
      </c>
      <c r="U156" s="14">
        <v>259</v>
      </c>
      <c r="V156" s="21">
        <f t="shared" si="4"/>
        <v>5212756</v>
      </c>
    </row>
    <row r="157" spans="2:22" x14ac:dyDescent="0.15">
      <c r="B157" s="67"/>
      <c r="C157" s="69"/>
      <c r="D157" s="55" t="s">
        <v>19</v>
      </c>
      <c r="E157" s="56">
        <v>0.95497500000000002</v>
      </c>
      <c r="F157" s="56">
        <v>3.661999896754403</v>
      </c>
      <c r="G157" s="56">
        <v>95.31343528106234</v>
      </c>
      <c r="H157" s="57">
        <v>2.834803137204716</v>
      </c>
      <c r="I157" s="60">
        <v>3900.5</v>
      </c>
      <c r="O157" s="39"/>
      <c r="P157" s="5" t="s">
        <v>20</v>
      </c>
      <c r="Q157" s="8">
        <v>147</v>
      </c>
      <c r="R157" s="8">
        <v>2</v>
      </c>
      <c r="S157" s="8">
        <v>0</v>
      </c>
      <c r="T157" s="8">
        <v>0</v>
      </c>
      <c r="U157" s="8">
        <v>7</v>
      </c>
      <c r="V157" s="19">
        <f t="shared" si="4"/>
        <v>156</v>
      </c>
    </row>
    <row r="158" spans="2:22" x14ac:dyDescent="0.15">
      <c r="B158" s="67"/>
      <c r="C158" s="69"/>
      <c r="D158" s="55" t="s">
        <v>21</v>
      </c>
      <c r="E158" s="56">
        <v>0.95498299999999992</v>
      </c>
      <c r="F158" s="56">
        <v>3.6619398967568033</v>
      </c>
      <c r="G158" s="56">
        <v>95.313077261444846</v>
      </c>
      <c r="H158" s="57">
        <v>3.0884319495384922</v>
      </c>
      <c r="I158" s="60">
        <v>0</v>
      </c>
      <c r="O158" s="39"/>
      <c r="P158" s="5" t="s">
        <v>22</v>
      </c>
      <c r="Q158" s="8">
        <v>32</v>
      </c>
      <c r="R158" s="8">
        <v>0</v>
      </c>
      <c r="S158" s="8">
        <v>0</v>
      </c>
      <c r="T158" s="8">
        <v>0</v>
      </c>
      <c r="U158" s="8">
        <v>1</v>
      </c>
      <c r="V158" s="19">
        <f t="shared" si="4"/>
        <v>33</v>
      </c>
    </row>
    <row r="159" spans="2:22" ht="14" thickBot="1" x14ac:dyDescent="0.2">
      <c r="B159" s="67"/>
      <c r="C159" s="69"/>
      <c r="D159" s="55" t="s">
        <v>23</v>
      </c>
      <c r="E159" s="56">
        <v>0.95498299999999992</v>
      </c>
      <c r="F159" s="56">
        <v>3.6619398967568033</v>
      </c>
      <c r="G159" s="56">
        <v>95.313077261444846</v>
      </c>
      <c r="H159" s="57">
        <v>3.484193469538492</v>
      </c>
      <c r="I159" s="60">
        <v>0</v>
      </c>
      <c r="O159" s="40"/>
      <c r="P159" s="11" t="s">
        <v>24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20">
        <f t="shared" si="4"/>
        <v>0</v>
      </c>
    </row>
    <row r="160" spans="2:22" x14ac:dyDescent="0.15">
      <c r="B160" s="65" t="s">
        <v>45</v>
      </c>
      <c r="C160" s="66" t="s">
        <v>16</v>
      </c>
      <c r="D160" s="49" t="s">
        <v>17</v>
      </c>
      <c r="E160" s="50">
        <v>0.69971800000000006</v>
      </c>
      <c r="F160" s="50">
        <v>42.966218281351274</v>
      </c>
      <c r="G160" s="50">
        <v>95.212084908121767</v>
      </c>
      <c r="H160" s="51">
        <v>14.064400594802889</v>
      </c>
      <c r="I160" s="58">
        <v>3750</v>
      </c>
      <c r="O160" s="38" t="s">
        <v>64</v>
      </c>
      <c r="P160" s="13" t="s">
        <v>18</v>
      </c>
      <c r="Q160" s="14">
        <v>5161777</v>
      </c>
      <c r="R160" s="14">
        <v>14290</v>
      </c>
      <c r="S160" s="14">
        <v>4166</v>
      </c>
      <c r="T160" s="14">
        <v>324</v>
      </c>
      <c r="U160" s="14">
        <v>42</v>
      </c>
      <c r="V160" s="21">
        <f t="shared" si="4"/>
        <v>5180599</v>
      </c>
    </row>
    <row r="161" spans="2:22" x14ac:dyDescent="0.15">
      <c r="B161" s="67"/>
      <c r="C161" s="68"/>
      <c r="D161" s="52" t="s">
        <v>19</v>
      </c>
      <c r="E161" s="53">
        <v>0.69979250000000004</v>
      </c>
      <c r="F161" s="53">
        <v>42.966218281351274</v>
      </c>
      <c r="G161" s="53">
        <v>95.212084908121767</v>
      </c>
      <c r="H161" s="54">
        <v>14.391015989175751</v>
      </c>
      <c r="I161" s="59">
        <v>0</v>
      </c>
      <c r="O161" s="39"/>
      <c r="P161" s="5" t="s">
        <v>20</v>
      </c>
      <c r="Q161" s="8">
        <v>256</v>
      </c>
      <c r="R161" s="8">
        <v>0</v>
      </c>
      <c r="S161" s="8">
        <v>1</v>
      </c>
      <c r="T161" s="8">
        <v>0</v>
      </c>
      <c r="U161" s="8">
        <v>13</v>
      </c>
      <c r="V161" s="19">
        <f t="shared" si="4"/>
        <v>270</v>
      </c>
    </row>
    <row r="162" spans="2:22" x14ac:dyDescent="0.15">
      <c r="B162" s="67"/>
      <c r="C162" s="68"/>
      <c r="D162" s="52" t="s">
        <v>21</v>
      </c>
      <c r="E162" s="53">
        <v>0.69979250000000004</v>
      </c>
      <c r="F162" s="53">
        <v>42.966218281351274</v>
      </c>
      <c r="G162" s="53">
        <v>95.212084908121767</v>
      </c>
      <c r="H162" s="54">
        <v>14.813122604175751</v>
      </c>
      <c r="I162" s="59">
        <v>0</v>
      </c>
      <c r="O162" s="39"/>
      <c r="P162" s="5" t="s">
        <v>22</v>
      </c>
      <c r="Q162" s="8">
        <v>11</v>
      </c>
      <c r="R162" s="8">
        <v>0</v>
      </c>
      <c r="S162" s="8">
        <v>0</v>
      </c>
      <c r="T162" s="8">
        <v>0</v>
      </c>
      <c r="U162" s="8">
        <v>0</v>
      </c>
      <c r="V162" s="19">
        <f t="shared" si="4"/>
        <v>11</v>
      </c>
    </row>
    <row r="163" spans="2:22" ht="14" thickBot="1" x14ac:dyDescent="0.2">
      <c r="B163" s="67"/>
      <c r="C163" s="68"/>
      <c r="D163" s="52" t="s">
        <v>23</v>
      </c>
      <c r="E163" s="53">
        <v>0.69979250000000004</v>
      </c>
      <c r="F163" s="53">
        <v>42.966218281351274</v>
      </c>
      <c r="G163" s="53">
        <v>95.212084908121767</v>
      </c>
      <c r="H163" s="54">
        <v>15.469732894175749</v>
      </c>
      <c r="I163" s="59">
        <v>0</v>
      </c>
      <c r="O163" s="40"/>
      <c r="P163" s="11" t="s">
        <v>24</v>
      </c>
      <c r="Q163" s="12">
        <v>0</v>
      </c>
      <c r="R163" s="12">
        <v>0</v>
      </c>
      <c r="S163" s="12">
        <v>0</v>
      </c>
      <c r="T163" s="12">
        <v>0</v>
      </c>
      <c r="U163" s="12">
        <v>0</v>
      </c>
      <c r="V163" s="20">
        <f t="shared" si="4"/>
        <v>0</v>
      </c>
    </row>
    <row r="164" spans="2:22" x14ac:dyDescent="0.15">
      <c r="B164" s="67"/>
      <c r="C164" s="69" t="s">
        <v>25</v>
      </c>
      <c r="D164" s="55" t="s">
        <v>17</v>
      </c>
      <c r="E164" s="56">
        <v>0.69979649999999993</v>
      </c>
      <c r="F164" s="56">
        <v>42.975168280993266</v>
      </c>
      <c r="G164" s="56">
        <v>95.212211319302014</v>
      </c>
      <c r="H164" s="57">
        <v>14.066583645987103</v>
      </c>
      <c r="I164" s="60">
        <v>2081</v>
      </c>
      <c r="O164" s="38" t="s">
        <v>65</v>
      </c>
      <c r="P164" s="13" t="s">
        <v>18</v>
      </c>
      <c r="Q164" s="14">
        <v>225958</v>
      </c>
      <c r="R164" s="14">
        <v>4385</v>
      </c>
      <c r="S164" s="14">
        <v>3</v>
      </c>
      <c r="T164" s="14">
        <v>0</v>
      </c>
      <c r="U164" s="14">
        <v>0</v>
      </c>
      <c r="V164" s="21">
        <f t="shared" si="4"/>
        <v>230346</v>
      </c>
    </row>
    <row r="165" spans="2:22" x14ac:dyDescent="0.15">
      <c r="B165" s="67"/>
      <c r="C165" s="69"/>
      <c r="D165" s="55" t="s">
        <v>19</v>
      </c>
      <c r="E165" s="56">
        <v>0.69979250000000004</v>
      </c>
      <c r="F165" s="56">
        <v>42.966218281351274</v>
      </c>
      <c r="G165" s="56">
        <v>95.212084908121767</v>
      </c>
      <c r="H165" s="57">
        <v>14.391015989175751</v>
      </c>
      <c r="I165" s="60">
        <v>0</v>
      </c>
      <c r="O165" s="39"/>
      <c r="P165" s="5" t="s">
        <v>20</v>
      </c>
      <c r="Q165" s="8">
        <v>1214</v>
      </c>
      <c r="R165" s="8">
        <v>4</v>
      </c>
      <c r="S165" s="8">
        <v>1</v>
      </c>
      <c r="T165" s="8">
        <v>1</v>
      </c>
      <c r="U165" s="8">
        <v>0</v>
      </c>
      <c r="V165" s="19">
        <f t="shared" si="4"/>
        <v>1220</v>
      </c>
    </row>
    <row r="166" spans="2:22" x14ac:dyDescent="0.15">
      <c r="B166" s="67"/>
      <c r="C166" s="69"/>
      <c r="D166" s="55" t="s">
        <v>21</v>
      </c>
      <c r="E166" s="56">
        <v>0.69979250000000004</v>
      </c>
      <c r="F166" s="56">
        <v>42.966218281351274</v>
      </c>
      <c r="G166" s="56">
        <v>95.212084908121767</v>
      </c>
      <c r="H166" s="57">
        <v>14.813122604175751</v>
      </c>
      <c r="I166" s="60">
        <v>0</v>
      </c>
      <c r="O166" s="39"/>
      <c r="P166" s="5" t="s">
        <v>22</v>
      </c>
      <c r="Q166" s="8">
        <v>53</v>
      </c>
      <c r="R166" s="8">
        <v>0</v>
      </c>
      <c r="S166" s="8">
        <v>0</v>
      </c>
      <c r="T166" s="8">
        <v>0</v>
      </c>
      <c r="U166" s="8">
        <v>0</v>
      </c>
      <c r="V166" s="19">
        <f t="shared" si="4"/>
        <v>53</v>
      </c>
    </row>
    <row r="167" spans="2:22" ht="14" thickBot="1" x14ac:dyDescent="0.2">
      <c r="B167" s="67"/>
      <c r="C167" s="69"/>
      <c r="D167" s="55" t="s">
        <v>23</v>
      </c>
      <c r="E167" s="56">
        <v>0.69979250000000004</v>
      </c>
      <c r="F167" s="56">
        <v>42.966218281351274</v>
      </c>
      <c r="G167" s="56">
        <v>95.212084908121767</v>
      </c>
      <c r="H167" s="57">
        <v>15.469732894175749</v>
      </c>
      <c r="I167" s="60">
        <v>0</v>
      </c>
      <c r="O167" s="40"/>
      <c r="P167" s="11" t="s">
        <v>24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  <c r="V167" s="20">
        <f t="shared" si="4"/>
        <v>0</v>
      </c>
    </row>
    <row r="168" spans="2:22" x14ac:dyDescent="0.15">
      <c r="B168" s="65" t="s">
        <v>46</v>
      </c>
      <c r="C168" s="66" t="s">
        <v>16</v>
      </c>
      <c r="D168" s="49" t="s">
        <v>17</v>
      </c>
      <c r="E168" s="50">
        <v>0.45287899999999998</v>
      </c>
      <c r="F168" s="50">
        <v>5.6345597746176086</v>
      </c>
      <c r="G168" s="50">
        <v>95.334226525457026</v>
      </c>
      <c r="H168" s="51">
        <v>3.4036874510178459</v>
      </c>
      <c r="I168" s="58">
        <v>9320</v>
      </c>
      <c r="O168" s="38" t="s">
        <v>66</v>
      </c>
      <c r="P168" s="13" t="s">
        <v>18</v>
      </c>
      <c r="Q168" s="14">
        <v>1124886</v>
      </c>
      <c r="R168" s="14">
        <v>287</v>
      </c>
      <c r="S168" s="14">
        <v>188</v>
      </c>
      <c r="T168" s="14">
        <v>5</v>
      </c>
      <c r="U168" s="14">
        <v>18</v>
      </c>
      <c r="V168" s="21">
        <f t="shared" ref="V168:V179" si="5">SUM(Q168:U168)</f>
        <v>1125384</v>
      </c>
    </row>
    <row r="169" spans="2:22" x14ac:dyDescent="0.15">
      <c r="B169" s="67"/>
      <c r="C169" s="68"/>
      <c r="D169" s="52" t="s">
        <v>19</v>
      </c>
      <c r="E169" s="53">
        <v>0.452955</v>
      </c>
      <c r="F169" s="53">
        <v>5.6345597746176086</v>
      </c>
      <c r="G169" s="53">
        <v>95.334226525457026</v>
      </c>
      <c r="H169" s="54">
        <v>3.6168514617953473</v>
      </c>
      <c r="I169" s="59">
        <v>73</v>
      </c>
      <c r="O169" s="39"/>
      <c r="P169" s="5" t="s">
        <v>20</v>
      </c>
      <c r="Q169" s="8">
        <v>347</v>
      </c>
      <c r="R169" s="8">
        <v>2</v>
      </c>
      <c r="S169" s="8">
        <v>2</v>
      </c>
      <c r="T169" s="8">
        <v>0</v>
      </c>
      <c r="U169" s="8">
        <v>7</v>
      </c>
      <c r="V169" s="19">
        <f t="shared" si="5"/>
        <v>358</v>
      </c>
    </row>
    <row r="170" spans="2:22" x14ac:dyDescent="0.15">
      <c r="B170" s="67"/>
      <c r="C170" s="68"/>
      <c r="D170" s="52" t="s">
        <v>21</v>
      </c>
      <c r="E170" s="53">
        <v>0.45295600000000003</v>
      </c>
      <c r="F170" s="53">
        <v>5.6345597746176086</v>
      </c>
      <c r="G170" s="53">
        <v>95.334226525457026</v>
      </c>
      <c r="H170" s="54">
        <v>3.8962320633485823</v>
      </c>
      <c r="I170" s="59">
        <v>0</v>
      </c>
      <c r="O170" s="39"/>
      <c r="P170" s="5" t="s">
        <v>22</v>
      </c>
      <c r="Q170" s="8">
        <v>14</v>
      </c>
      <c r="R170" s="8">
        <v>0</v>
      </c>
      <c r="S170" s="8">
        <v>0</v>
      </c>
      <c r="T170" s="8">
        <v>0</v>
      </c>
      <c r="U170" s="8">
        <v>0</v>
      </c>
      <c r="V170" s="19">
        <f t="shared" si="5"/>
        <v>14</v>
      </c>
    </row>
    <row r="171" spans="2:22" ht="14" thickBot="1" x14ac:dyDescent="0.2">
      <c r="B171" s="67"/>
      <c r="C171" s="68"/>
      <c r="D171" s="52" t="s">
        <v>23</v>
      </c>
      <c r="E171" s="53">
        <v>0.45295600000000003</v>
      </c>
      <c r="F171" s="53">
        <v>5.6345597746176086</v>
      </c>
      <c r="G171" s="53">
        <v>95.334226525457026</v>
      </c>
      <c r="H171" s="54">
        <v>4.330883273348582</v>
      </c>
      <c r="I171" s="59">
        <v>0</v>
      </c>
      <c r="O171" s="40"/>
      <c r="P171" s="11" t="s">
        <v>24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20">
        <f t="shared" si="5"/>
        <v>0</v>
      </c>
    </row>
    <row r="172" spans="2:22" x14ac:dyDescent="0.15">
      <c r="B172" s="67"/>
      <c r="C172" s="69" t="s">
        <v>25</v>
      </c>
      <c r="D172" s="55" t="s">
        <v>17</v>
      </c>
      <c r="E172" s="56">
        <v>0.45278000000000002</v>
      </c>
      <c r="F172" s="56">
        <v>5.6546297738148095</v>
      </c>
      <c r="G172" s="56">
        <v>95.334048435969279</v>
      </c>
      <c r="H172" s="57">
        <v>3.4051462904011016</v>
      </c>
      <c r="I172" s="60">
        <v>5741</v>
      </c>
      <c r="O172" s="38" t="s">
        <v>67</v>
      </c>
      <c r="P172" s="13" t="s">
        <v>18</v>
      </c>
      <c r="Q172" s="14">
        <v>1147729</v>
      </c>
      <c r="R172" s="14">
        <v>301</v>
      </c>
      <c r="S172" s="14">
        <v>191</v>
      </c>
      <c r="T172" s="14">
        <v>2</v>
      </c>
      <c r="U172" s="14">
        <v>12</v>
      </c>
      <c r="V172" s="21">
        <f t="shared" si="5"/>
        <v>1148235</v>
      </c>
    </row>
    <row r="173" spans="2:22" x14ac:dyDescent="0.15">
      <c r="B173" s="67"/>
      <c r="C173" s="69"/>
      <c r="D173" s="55" t="s">
        <v>19</v>
      </c>
      <c r="E173" s="56">
        <v>0.4528935</v>
      </c>
      <c r="F173" s="56">
        <v>5.6357097745716089</v>
      </c>
      <c r="G173" s="56">
        <v>95.334294466739976</v>
      </c>
      <c r="H173" s="57">
        <v>3.617364992562969</v>
      </c>
      <c r="I173" s="60">
        <v>323</v>
      </c>
      <c r="O173" s="39"/>
      <c r="P173" s="5" t="s">
        <v>20</v>
      </c>
      <c r="Q173" s="8">
        <v>251</v>
      </c>
      <c r="R173" s="8">
        <v>0</v>
      </c>
      <c r="S173" s="8">
        <v>0</v>
      </c>
      <c r="T173" s="8">
        <v>0</v>
      </c>
      <c r="U173" s="8">
        <v>5</v>
      </c>
      <c r="V173" s="19">
        <f t="shared" si="5"/>
        <v>256</v>
      </c>
    </row>
    <row r="174" spans="2:22" x14ac:dyDescent="0.15">
      <c r="B174" s="67"/>
      <c r="C174" s="69"/>
      <c r="D174" s="55" t="s">
        <v>21</v>
      </c>
      <c r="E174" s="56">
        <v>0.45295600000000003</v>
      </c>
      <c r="F174" s="56">
        <v>5.6345597746176086</v>
      </c>
      <c r="G174" s="56">
        <v>95.334226525457026</v>
      </c>
      <c r="H174" s="57">
        <v>3.8962320633485823</v>
      </c>
      <c r="I174" s="60">
        <v>0</v>
      </c>
      <c r="O174" s="39"/>
      <c r="P174" s="5" t="s">
        <v>22</v>
      </c>
      <c r="Q174" s="8">
        <v>20</v>
      </c>
      <c r="R174" s="8">
        <v>0</v>
      </c>
      <c r="S174" s="8">
        <v>0</v>
      </c>
      <c r="T174" s="8">
        <v>0</v>
      </c>
      <c r="U174" s="8">
        <v>2</v>
      </c>
      <c r="V174" s="19">
        <f t="shared" si="5"/>
        <v>22</v>
      </c>
    </row>
    <row r="175" spans="2:22" ht="14" thickBot="1" x14ac:dyDescent="0.2">
      <c r="B175" s="67"/>
      <c r="C175" s="69"/>
      <c r="D175" s="55" t="s">
        <v>23</v>
      </c>
      <c r="E175" s="56">
        <v>0.45295600000000003</v>
      </c>
      <c r="F175" s="56">
        <v>5.6345597746176086</v>
      </c>
      <c r="G175" s="56">
        <v>95.334226525457026</v>
      </c>
      <c r="H175" s="57">
        <v>4.330883273348582</v>
      </c>
      <c r="I175" s="60">
        <v>0</v>
      </c>
      <c r="O175" s="40"/>
      <c r="P175" s="11" t="s">
        <v>24</v>
      </c>
      <c r="Q175" s="12">
        <v>0</v>
      </c>
      <c r="R175" s="12">
        <v>0</v>
      </c>
      <c r="S175" s="12">
        <v>0</v>
      </c>
      <c r="T175" s="12">
        <v>0</v>
      </c>
      <c r="U175" s="12">
        <v>0</v>
      </c>
      <c r="V175" s="20">
        <f t="shared" si="5"/>
        <v>0</v>
      </c>
    </row>
    <row r="176" spans="2:22" x14ac:dyDescent="0.15">
      <c r="B176" s="65" t="s">
        <v>47</v>
      </c>
      <c r="C176" s="66" t="s">
        <v>16</v>
      </c>
      <c r="D176" s="49" t="s">
        <v>17</v>
      </c>
      <c r="E176" s="50">
        <v>0.48822050000000006</v>
      </c>
      <c r="F176" s="50">
        <v>5.416849881322805</v>
      </c>
      <c r="G176" s="50">
        <v>95.318940140850202</v>
      </c>
      <c r="H176" s="51">
        <v>3.2627190408550164</v>
      </c>
      <c r="I176" s="58">
        <v>6308</v>
      </c>
      <c r="O176" s="39" t="s">
        <v>68</v>
      </c>
      <c r="P176" s="10" t="s">
        <v>18</v>
      </c>
      <c r="Q176" s="9">
        <v>695841</v>
      </c>
      <c r="R176" s="9">
        <v>2940</v>
      </c>
      <c r="S176" s="9">
        <v>2</v>
      </c>
      <c r="T176" s="9">
        <v>0</v>
      </c>
      <c r="U176" s="9">
        <v>0</v>
      </c>
      <c r="V176" s="18">
        <f t="shared" si="5"/>
        <v>698783</v>
      </c>
    </row>
    <row r="177" spans="2:22" x14ac:dyDescent="0.15">
      <c r="B177" s="67"/>
      <c r="C177" s="68"/>
      <c r="D177" s="52" t="s">
        <v>19</v>
      </c>
      <c r="E177" s="53">
        <v>0.4882745</v>
      </c>
      <c r="F177" s="53">
        <v>5.416849881322805</v>
      </c>
      <c r="G177" s="53">
        <v>95.318940140850202</v>
      </c>
      <c r="H177" s="54">
        <v>3.4720487057054359</v>
      </c>
      <c r="I177" s="59">
        <v>422</v>
      </c>
      <c r="O177" s="39"/>
      <c r="P177" s="5" t="s">
        <v>20</v>
      </c>
      <c r="Q177" s="8">
        <v>204</v>
      </c>
      <c r="R177" s="8">
        <v>0</v>
      </c>
      <c r="S177" s="8">
        <v>0</v>
      </c>
      <c r="T177" s="8">
        <v>0</v>
      </c>
      <c r="U177" s="8">
        <v>0</v>
      </c>
      <c r="V177" s="19">
        <f t="shared" si="5"/>
        <v>204</v>
      </c>
    </row>
    <row r="178" spans="2:22" x14ac:dyDescent="0.15">
      <c r="B178" s="67"/>
      <c r="C178" s="68"/>
      <c r="D178" s="52" t="s">
        <v>21</v>
      </c>
      <c r="E178" s="53">
        <v>0.48828050000000001</v>
      </c>
      <c r="F178" s="53">
        <v>5.416849881322805</v>
      </c>
      <c r="G178" s="53">
        <v>95.318940140850202</v>
      </c>
      <c r="H178" s="54">
        <v>3.7443388962296336</v>
      </c>
      <c r="I178" s="59">
        <v>0</v>
      </c>
      <c r="O178" s="39"/>
      <c r="P178" s="5" t="s">
        <v>22</v>
      </c>
      <c r="Q178" s="8">
        <v>2</v>
      </c>
      <c r="R178" s="8">
        <v>0</v>
      </c>
      <c r="S178" s="8">
        <v>0</v>
      </c>
      <c r="T178" s="8">
        <v>0</v>
      </c>
      <c r="U178" s="8">
        <v>0</v>
      </c>
      <c r="V178" s="19">
        <f t="shared" si="5"/>
        <v>2</v>
      </c>
    </row>
    <row r="179" spans="2:22" ht="14" thickBot="1" x14ac:dyDescent="0.2">
      <c r="B179" s="67"/>
      <c r="C179" s="68"/>
      <c r="D179" s="52" t="s">
        <v>23</v>
      </c>
      <c r="E179" s="53">
        <v>0.48828050000000001</v>
      </c>
      <c r="F179" s="53">
        <v>5.416849881322805</v>
      </c>
      <c r="G179" s="53">
        <v>95.318940140850202</v>
      </c>
      <c r="H179" s="54">
        <v>4.1682433562296337</v>
      </c>
      <c r="I179" s="59">
        <v>0</v>
      </c>
      <c r="O179" s="40"/>
      <c r="P179" s="11" t="s">
        <v>24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20">
        <f t="shared" si="5"/>
        <v>0</v>
      </c>
    </row>
    <row r="180" spans="2:22" x14ac:dyDescent="0.15">
      <c r="B180" s="67"/>
      <c r="C180" s="69" t="s">
        <v>25</v>
      </c>
      <c r="D180" s="55" t="s">
        <v>17</v>
      </c>
      <c r="E180" s="56">
        <v>0.48831800000000003</v>
      </c>
      <c r="F180" s="56">
        <v>5.433619881022004</v>
      </c>
      <c r="G180" s="56">
        <v>95.318850119465964</v>
      </c>
      <c r="H180" s="57">
        <v>3.2643619524997423</v>
      </c>
      <c r="I180" s="60">
        <v>5467</v>
      </c>
    </row>
    <row r="181" spans="2:22" x14ac:dyDescent="0.15">
      <c r="B181" s="67"/>
      <c r="C181" s="69"/>
      <c r="D181" s="55" t="s">
        <v>19</v>
      </c>
      <c r="E181" s="56">
        <v>0.48838700000000002</v>
      </c>
      <c r="F181" s="56">
        <v>5.4173598813152051</v>
      </c>
      <c r="G181" s="56">
        <v>95.318963367646177</v>
      </c>
      <c r="H181" s="57">
        <v>3.4719266456523687</v>
      </c>
      <c r="I181" s="60">
        <v>514.5</v>
      </c>
    </row>
    <row r="182" spans="2:22" x14ac:dyDescent="0.15">
      <c r="B182" s="67"/>
      <c r="C182" s="69"/>
      <c r="D182" s="55" t="s">
        <v>21</v>
      </c>
      <c r="E182" s="56">
        <v>0.48828050000000001</v>
      </c>
      <c r="F182" s="56">
        <v>5.416849881322805</v>
      </c>
      <c r="G182" s="56">
        <v>95.318940140850202</v>
      </c>
      <c r="H182" s="57">
        <v>3.7443388962296336</v>
      </c>
      <c r="I182" s="60">
        <v>0</v>
      </c>
    </row>
    <row r="183" spans="2:22" ht="14" thickBot="1" x14ac:dyDescent="0.2">
      <c r="B183" s="67"/>
      <c r="C183" s="69"/>
      <c r="D183" s="55" t="s">
        <v>23</v>
      </c>
      <c r="E183" s="56">
        <v>0.48828050000000001</v>
      </c>
      <c r="F183" s="56">
        <v>5.416849881322805</v>
      </c>
      <c r="G183" s="56">
        <v>95.318940140850202</v>
      </c>
      <c r="H183" s="57">
        <v>4.1682433562296337</v>
      </c>
      <c r="I183" s="60">
        <v>0</v>
      </c>
    </row>
    <row r="184" spans="2:22" x14ac:dyDescent="0.15">
      <c r="B184" s="65" t="s">
        <v>48</v>
      </c>
      <c r="C184" s="66" t="s">
        <v>16</v>
      </c>
      <c r="D184" s="49" t="s">
        <v>17</v>
      </c>
      <c r="E184" s="50">
        <v>0.44061</v>
      </c>
      <c r="F184" s="50">
        <v>5.7885298842294031</v>
      </c>
      <c r="G184" s="50">
        <v>95.336737354802906</v>
      </c>
      <c r="H184" s="51">
        <v>3.4387075146009551</v>
      </c>
      <c r="I184" s="58">
        <v>12363.5</v>
      </c>
    </row>
    <row r="185" spans="2:22" x14ac:dyDescent="0.15">
      <c r="B185" s="67"/>
      <c r="C185" s="68"/>
      <c r="D185" s="52" t="s">
        <v>19</v>
      </c>
      <c r="E185" s="53">
        <v>0.44070299999999996</v>
      </c>
      <c r="F185" s="53">
        <v>5.7885298842294031</v>
      </c>
      <c r="G185" s="53">
        <v>95.336737354802906</v>
      </c>
      <c r="H185" s="54">
        <v>3.6479452763862037</v>
      </c>
      <c r="I185" s="59">
        <v>255</v>
      </c>
    </row>
    <row r="186" spans="2:22" x14ac:dyDescent="0.15">
      <c r="B186" s="67"/>
      <c r="C186" s="68"/>
      <c r="D186" s="52" t="s">
        <v>21</v>
      </c>
      <c r="E186" s="53">
        <v>0.44070600000000004</v>
      </c>
      <c r="F186" s="53">
        <v>5.7885298842294031</v>
      </c>
      <c r="G186" s="53">
        <v>95.336737354802906</v>
      </c>
      <c r="H186" s="54">
        <v>3.9238243536103745</v>
      </c>
      <c r="I186" s="59">
        <v>0</v>
      </c>
    </row>
    <row r="187" spans="2:22" x14ac:dyDescent="0.15">
      <c r="B187" s="67"/>
      <c r="C187" s="68"/>
      <c r="D187" s="52" t="s">
        <v>23</v>
      </c>
      <c r="E187" s="53">
        <v>0.44070600000000004</v>
      </c>
      <c r="F187" s="53">
        <v>5.7885298842294031</v>
      </c>
      <c r="G187" s="53">
        <v>95.336737354802906</v>
      </c>
      <c r="H187" s="54">
        <v>4.3531762136103751</v>
      </c>
      <c r="I187" s="59">
        <v>0</v>
      </c>
    </row>
    <row r="188" spans="2:22" x14ac:dyDescent="0.15">
      <c r="B188" s="67"/>
      <c r="C188" s="69" t="s">
        <v>25</v>
      </c>
      <c r="D188" s="55" t="s">
        <v>17</v>
      </c>
      <c r="E188" s="56">
        <v>0.44083499999999998</v>
      </c>
      <c r="F188" s="56">
        <v>5.8048598839028021</v>
      </c>
      <c r="G188" s="56">
        <v>95.336669320974636</v>
      </c>
      <c r="H188" s="57">
        <v>3.4378146828186846</v>
      </c>
      <c r="I188" s="60">
        <v>6836.5</v>
      </c>
    </row>
    <row r="189" spans="2:22" x14ac:dyDescent="0.15">
      <c r="B189" s="67"/>
      <c r="C189" s="69"/>
      <c r="D189" s="55" t="s">
        <v>19</v>
      </c>
      <c r="E189" s="56">
        <v>0.44060900000000003</v>
      </c>
      <c r="F189" s="56">
        <v>5.7885198842296024</v>
      </c>
      <c r="G189" s="56">
        <v>95.336814137360747</v>
      </c>
      <c r="H189" s="57">
        <v>3.6480473933001445</v>
      </c>
      <c r="I189" s="60">
        <v>163.5</v>
      </c>
    </row>
    <row r="190" spans="2:22" x14ac:dyDescent="0.15">
      <c r="B190" s="67"/>
      <c r="C190" s="69"/>
      <c r="D190" s="55" t="s">
        <v>21</v>
      </c>
      <c r="E190" s="56">
        <v>0.44070600000000004</v>
      </c>
      <c r="F190" s="56">
        <v>5.7885298842294031</v>
      </c>
      <c r="G190" s="56">
        <v>95.336737354802906</v>
      </c>
      <c r="H190" s="57">
        <v>3.9238243536103745</v>
      </c>
      <c r="I190" s="60">
        <v>0</v>
      </c>
    </row>
    <row r="191" spans="2:22" ht="14" thickBot="1" x14ac:dyDescent="0.2">
      <c r="B191" s="67"/>
      <c r="C191" s="69"/>
      <c r="D191" s="55" t="s">
        <v>23</v>
      </c>
      <c r="E191" s="56">
        <v>0.44070600000000004</v>
      </c>
      <c r="F191" s="56">
        <v>5.7885298842294031</v>
      </c>
      <c r="G191" s="56">
        <v>95.336737354802906</v>
      </c>
      <c r="H191" s="57">
        <v>4.3531762136103751</v>
      </c>
      <c r="I191" s="60">
        <v>0</v>
      </c>
    </row>
    <row r="192" spans="2:22" x14ac:dyDescent="0.15">
      <c r="B192" s="65" t="s">
        <v>49</v>
      </c>
      <c r="C192" s="66" t="s">
        <v>16</v>
      </c>
      <c r="D192" s="49" t="s">
        <v>17</v>
      </c>
      <c r="E192" s="50">
        <v>0.48876900000000001</v>
      </c>
      <c r="F192" s="50">
        <v>5.3701698925966017</v>
      </c>
      <c r="G192" s="50">
        <v>95.316342685765889</v>
      </c>
      <c r="H192" s="51">
        <v>3.2614168417624314</v>
      </c>
      <c r="I192" s="58">
        <v>4007</v>
      </c>
    </row>
    <row r="193" spans="2:9" x14ac:dyDescent="0.15">
      <c r="B193" s="67"/>
      <c r="C193" s="68"/>
      <c r="D193" s="52" t="s">
        <v>19</v>
      </c>
      <c r="E193" s="53">
        <v>0.48880449999999998</v>
      </c>
      <c r="F193" s="53">
        <v>5.3701698925966017</v>
      </c>
      <c r="G193" s="53">
        <v>95.316342685765889</v>
      </c>
      <c r="H193" s="54">
        <v>3.4725740941491638</v>
      </c>
      <c r="I193" s="59">
        <v>195.5</v>
      </c>
    </row>
    <row r="194" spans="2:9" x14ac:dyDescent="0.15">
      <c r="B194" s="67"/>
      <c r="C194" s="68"/>
      <c r="D194" s="52" t="s">
        <v>21</v>
      </c>
      <c r="E194" s="53">
        <v>0.48880699999999999</v>
      </c>
      <c r="F194" s="53">
        <v>5.3701698925966017</v>
      </c>
      <c r="G194" s="53">
        <v>95.316342685765889</v>
      </c>
      <c r="H194" s="54">
        <v>3.7461506636531499</v>
      </c>
      <c r="I194" s="59">
        <v>0</v>
      </c>
    </row>
    <row r="195" spans="2:9" x14ac:dyDescent="0.15">
      <c r="B195" s="67"/>
      <c r="C195" s="68"/>
      <c r="D195" s="52" t="s">
        <v>23</v>
      </c>
      <c r="E195" s="53">
        <v>0.48880699999999999</v>
      </c>
      <c r="F195" s="53">
        <v>5.3701698925966017</v>
      </c>
      <c r="G195" s="53">
        <v>95.316342685765889</v>
      </c>
      <c r="H195" s="54">
        <v>4.1718726036531502</v>
      </c>
      <c r="I195" s="59">
        <v>0</v>
      </c>
    </row>
    <row r="196" spans="2:9" x14ac:dyDescent="0.15">
      <c r="B196" s="67"/>
      <c r="C196" s="69" t="s">
        <v>25</v>
      </c>
      <c r="D196" s="55" t="s">
        <v>17</v>
      </c>
      <c r="E196" s="56">
        <v>0.48866500000000002</v>
      </c>
      <c r="F196" s="56">
        <v>5.3872298922554025</v>
      </c>
      <c r="G196" s="56">
        <v>95.316145486893419</v>
      </c>
      <c r="H196" s="57">
        <v>3.2638648390414913</v>
      </c>
      <c r="I196" s="60">
        <v>4678</v>
      </c>
    </row>
    <row r="197" spans="2:9" x14ac:dyDescent="0.15">
      <c r="B197" s="67"/>
      <c r="C197" s="69"/>
      <c r="D197" s="55" t="s">
        <v>19</v>
      </c>
      <c r="E197" s="56">
        <v>0.48864049999999998</v>
      </c>
      <c r="F197" s="56">
        <v>5.371129892577402</v>
      </c>
      <c r="G197" s="56">
        <v>95.316422435698996</v>
      </c>
      <c r="H197" s="57">
        <v>3.4728137575861098</v>
      </c>
      <c r="I197" s="60">
        <v>388</v>
      </c>
    </row>
    <row r="198" spans="2:9" x14ac:dyDescent="0.15">
      <c r="B198" s="67"/>
      <c r="C198" s="69"/>
      <c r="D198" s="55" t="s">
        <v>21</v>
      </c>
      <c r="E198" s="56">
        <v>0.48880699999999999</v>
      </c>
      <c r="F198" s="56">
        <v>5.3701698925966017</v>
      </c>
      <c r="G198" s="56">
        <v>95.316342685765889</v>
      </c>
      <c r="H198" s="57">
        <v>3.7461506636531499</v>
      </c>
      <c r="I198" s="60">
        <v>0</v>
      </c>
    </row>
    <row r="199" spans="2:9" ht="14" thickBot="1" x14ac:dyDescent="0.2">
      <c r="B199" s="67"/>
      <c r="C199" s="69"/>
      <c r="D199" s="55" t="s">
        <v>23</v>
      </c>
      <c r="E199" s="56">
        <v>0.48880699999999999</v>
      </c>
      <c r="F199" s="56">
        <v>5.3701698925966017</v>
      </c>
      <c r="G199" s="56">
        <v>95.316342685765889</v>
      </c>
      <c r="H199" s="57">
        <v>4.1718726036531502</v>
      </c>
      <c r="I199" s="60">
        <v>0</v>
      </c>
    </row>
    <row r="200" spans="2:9" x14ac:dyDescent="0.15">
      <c r="B200" s="65" t="s">
        <v>50</v>
      </c>
      <c r="C200" s="66" t="s">
        <v>16</v>
      </c>
      <c r="D200" s="49" t="s">
        <v>17</v>
      </c>
      <c r="E200" s="50">
        <v>0.50471350000000004</v>
      </c>
      <c r="F200" s="50">
        <v>5.0036900000000006</v>
      </c>
      <c r="G200" s="50">
        <v>95.313619223274571</v>
      </c>
      <c r="H200" s="51">
        <v>3.1305785467726999</v>
      </c>
      <c r="I200" s="58">
        <v>3284.5</v>
      </c>
    </row>
    <row r="201" spans="2:9" x14ac:dyDescent="0.15">
      <c r="B201" s="67"/>
      <c r="C201" s="68"/>
      <c r="D201" s="52" t="s">
        <v>19</v>
      </c>
      <c r="E201" s="53">
        <v>0.50474399999999997</v>
      </c>
      <c r="F201" s="53">
        <v>5.0036900000000006</v>
      </c>
      <c r="G201" s="53">
        <v>95.313619223274571</v>
      </c>
      <c r="H201" s="54">
        <v>3.3397454783339078</v>
      </c>
      <c r="I201" s="59">
        <v>191</v>
      </c>
    </row>
    <row r="202" spans="2:9" x14ac:dyDescent="0.15">
      <c r="B202" s="67"/>
      <c r="C202" s="68"/>
      <c r="D202" s="52" t="s">
        <v>21</v>
      </c>
      <c r="E202" s="53">
        <v>0.50474699999999995</v>
      </c>
      <c r="F202" s="53">
        <v>5.0036900000000006</v>
      </c>
      <c r="G202" s="53">
        <v>95.313619223274571</v>
      </c>
      <c r="H202" s="54">
        <v>3.6103498256881528</v>
      </c>
      <c r="I202" s="59">
        <v>0</v>
      </c>
    </row>
    <row r="203" spans="2:9" x14ac:dyDescent="0.15">
      <c r="B203" s="67"/>
      <c r="C203" s="68"/>
      <c r="D203" s="52" t="s">
        <v>23</v>
      </c>
      <c r="E203" s="53">
        <v>0.50474699999999995</v>
      </c>
      <c r="F203" s="53">
        <v>5.0036900000000006</v>
      </c>
      <c r="G203" s="53">
        <v>95.313619223274571</v>
      </c>
      <c r="H203" s="54">
        <v>4.0314446956881529</v>
      </c>
      <c r="I203" s="59">
        <v>0</v>
      </c>
    </row>
    <row r="204" spans="2:9" x14ac:dyDescent="0.15">
      <c r="B204" s="67"/>
      <c r="C204" s="69" t="s">
        <v>25</v>
      </c>
      <c r="D204" s="55" t="s">
        <v>17</v>
      </c>
      <c r="E204" s="56">
        <v>0.50470599999999999</v>
      </c>
      <c r="F204" s="56">
        <v>5.0200999999999993</v>
      </c>
      <c r="G204" s="56">
        <v>95.313625134110794</v>
      </c>
      <c r="H204" s="57">
        <v>3.1338219748049507</v>
      </c>
      <c r="I204" s="60">
        <v>5019</v>
      </c>
    </row>
    <row r="205" spans="2:9" x14ac:dyDescent="0.15">
      <c r="B205" s="67"/>
      <c r="C205" s="69"/>
      <c r="D205" s="55" t="s">
        <v>19</v>
      </c>
      <c r="E205" s="56">
        <v>0.50487950000000004</v>
      </c>
      <c r="F205" s="56">
        <v>5.0050699999999999</v>
      </c>
      <c r="G205" s="56">
        <v>95.313777478245584</v>
      </c>
      <c r="H205" s="57">
        <v>3.3404269631711556</v>
      </c>
      <c r="I205" s="60">
        <v>580.5</v>
      </c>
    </row>
    <row r="206" spans="2:9" x14ac:dyDescent="0.15">
      <c r="B206" s="67"/>
      <c r="C206" s="69"/>
      <c r="D206" s="55" t="s">
        <v>21</v>
      </c>
      <c r="E206" s="56">
        <v>0.50474699999999995</v>
      </c>
      <c r="F206" s="56">
        <v>5.0036900000000006</v>
      </c>
      <c r="G206" s="56">
        <v>95.313619223274571</v>
      </c>
      <c r="H206" s="57">
        <v>3.6103498256881528</v>
      </c>
      <c r="I206" s="60">
        <v>0</v>
      </c>
    </row>
    <row r="207" spans="2:9" ht="14" thickBot="1" x14ac:dyDescent="0.2">
      <c r="B207" s="67"/>
      <c r="C207" s="69"/>
      <c r="D207" s="55" t="s">
        <v>23</v>
      </c>
      <c r="E207" s="56">
        <v>0.50474699999999995</v>
      </c>
      <c r="F207" s="56">
        <v>5.0036900000000006</v>
      </c>
      <c r="G207" s="56">
        <v>95.313619223274571</v>
      </c>
      <c r="H207" s="57">
        <v>4.0314446956881529</v>
      </c>
      <c r="I207" s="60">
        <v>0</v>
      </c>
    </row>
    <row r="208" spans="2:9" x14ac:dyDescent="0.15">
      <c r="B208" s="65" t="s">
        <v>51</v>
      </c>
      <c r="C208" s="66" t="s">
        <v>16</v>
      </c>
      <c r="D208" s="49" t="s">
        <v>17</v>
      </c>
      <c r="E208" s="50">
        <v>0.50327600000000006</v>
      </c>
      <c r="F208" s="50">
        <v>5.1152997953880082</v>
      </c>
      <c r="G208" s="50">
        <v>95.307961708803631</v>
      </c>
      <c r="H208" s="51">
        <v>3.1434318913067649</v>
      </c>
      <c r="I208" s="58">
        <v>5407.5</v>
      </c>
    </row>
    <row r="209" spans="2:9" x14ac:dyDescent="0.15">
      <c r="B209" s="67"/>
      <c r="C209" s="68"/>
      <c r="D209" s="52" t="s">
        <v>19</v>
      </c>
      <c r="E209" s="53">
        <v>0.50332750000000004</v>
      </c>
      <c r="F209" s="53">
        <v>5.1152997953880082</v>
      </c>
      <c r="G209" s="53">
        <v>95.307961708803631</v>
      </c>
      <c r="H209" s="54">
        <v>3.3508438330242298</v>
      </c>
      <c r="I209" s="59">
        <v>198</v>
      </c>
    </row>
    <row r="210" spans="2:9" x14ac:dyDescent="0.15">
      <c r="B210" s="67"/>
      <c r="C210" s="68"/>
      <c r="D210" s="52" t="s">
        <v>21</v>
      </c>
      <c r="E210" s="53">
        <v>0.50333050000000001</v>
      </c>
      <c r="F210" s="53">
        <v>5.1152997953880082</v>
      </c>
      <c r="G210" s="53">
        <v>95.307961708803631</v>
      </c>
      <c r="H210" s="54">
        <v>3.6204133644560637</v>
      </c>
      <c r="I210" s="59">
        <v>0</v>
      </c>
    </row>
    <row r="211" spans="2:9" x14ac:dyDescent="0.15">
      <c r="B211" s="67"/>
      <c r="C211" s="68"/>
      <c r="D211" s="52" t="s">
        <v>23</v>
      </c>
      <c r="E211" s="53">
        <v>0.50333050000000001</v>
      </c>
      <c r="F211" s="53">
        <v>5.1152997953880082</v>
      </c>
      <c r="G211" s="53">
        <v>95.307961708803631</v>
      </c>
      <c r="H211" s="54">
        <v>4.0399041844560628</v>
      </c>
      <c r="I211" s="59">
        <v>0</v>
      </c>
    </row>
    <row r="212" spans="2:9" x14ac:dyDescent="0.15">
      <c r="B212" s="67"/>
      <c r="C212" s="69" t="s">
        <v>25</v>
      </c>
      <c r="D212" s="55" t="s">
        <v>17</v>
      </c>
      <c r="E212" s="56">
        <v>0.50362050000000003</v>
      </c>
      <c r="F212" s="56">
        <v>5.1305497947780081</v>
      </c>
      <c r="G212" s="56">
        <v>95.307841982009137</v>
      </c>
      <c r="H212" s="57">
        <v>3.1448579143906357</v>
      </c>
      <c r="I212" s="60">
        <v>5799.5</v>
      </c>
    </row>
    <row r="213" spans="2:9" x14ac:dyDescent="0.15">
      <c r="B213" s="67"/>
      <c r="C213" s="69"/>
      <c r="D213" s="55" t="s">
        <v>19</v>
      </c>
      <c r="E213" s="56">
        <v>0.50317849999999997</v>
      </c>
      <c r="F213" s="56">
        <v>5.1161497953540085</v>
      </c>
      <c r="G213" s="56">
        <v>95.308052348256126</v>
      </c>
      <c r="H213" s="57">
        <v>3.3513018484300416</v>
      </c>
      <c r="I213" s="60">
        <v>934</v>
      </c>
    </row>
    <row r="214" spans="2:9" x14ac:dyDescent="0.15">
      <c r="B214" s="67"/>
      <c r="C214" s="69"/>
      <c r="D214" s="55" t="s">
        <v>21</v>
      </c>
      <c r="E214" s="56">
        <v>0.50333050000000001</v>
      </c>
      <c r="F214" s="56">
        <v>5.1152997953880082</v>
      </c>
      <c r="G214" s="56">
        <v>95.307961708803631</v>
      </c>
      <c r="H214" s="57">
        <v>3.6204133644560637</v>
      </c>
      <c r="I214" s="60">
        <v>0</v>
      </c>
    </row>
    <row r="215" spans="2:9" ht="14" thickBot="1" x14ac:dyDescent="0.2">
      <c r="B215" s="67"/>
      <c r="C215" s="69"/>
      <c r="D215" s="55" t="s">
        <v>23</v>
      </c>
      <c r="E215" s="56">
        <v>0.50333050000000001</v>
      </c>
      <c r="F215" s="56">
        <v>5.1152997953880082</v>
      </c>
      <c r="G215" s="56">
        <v>95.307961708803631</v>
      </c>
      <c r="H215" s="57">
        <v>4.0399041844560628</v>
      </c>
      <c r="I215" s="60">
        <v>0</v>
      </c>
    </row>
    <row r="216" spans="2:9" x14ac:dyDescent="0.15">
      <c r="B216" s="65" t="s">
        <v>52</v>
      </c>
      <c r="C216" s="66" t="s">
        <v>16</v>
      </c>
      <c r="D216" s="49" t="s">
        <v>17</v>
      </c>
      <c r="E216" s="50">
        <v>0.65271400000000002</v>
      </c>
      <c r="F216" s="50">
        <v>48.875559518373009</v>
      </c>
      <c r="G216" s="50">
        <v>95.217319075676784</v>
      </c>
      <c r="H216" s="51">
        <v>16.016305388236425</v>
      </c>
      <c r="I216" s="58">
        <v>0</v>
      </c>
    </row>
    <row r="217" spans="2:9" x14ac:dyDescent="0.15">
      <c r="B217" s="67"/>
      <c r="C217" s="68"/>
      <c r="D217" s="52" t="s">
        <v>19</v>
      </c>
      <c r="E217" s="53">
        <v>0.65271400000000002</v>
      </c>
      <c r="F217" s="53">
        <v>48.875559518373009</v>
      </c>
      <c r="G217" s="53">
        <v>95.217319075676784</v>
      </c>
      <c r="H217" s="54">
        <v>16.387677963236428</v>
      </c>
      <c r="I217" s="59">
        <v>0</v>
      </c>
    </row>
    <row r="218" spans="2:9" x14ac:dyDescent="0.15">
      <c r="B218" s="67"/>
      <c r="C218" s="68"/>
      <c r="D218" s="52" t="s">
        <v>21</v>
      </c>
      <c r="E218" s="53">
        <v>0.65271400000000002</v>
      </c>
      <c r="F218" s="53">
        <v>48.875559518373009</v>
      </c>
      <c r="G218" s="53">
        <v>95.217319075676784</v>
      </c>
      <c r="H218" s="54">
        <v>16.865156988236429</v>
      </c>
      <c r="I218" s="59">
        <v>0</v>
      </c>
    </row>
    <row r="219" spans="2:9" x14ac:dyDescent="0.15">
      <c r="B219" s="67"/>
      <c r="C219" s="68"/>
      <c r="D219" s="52" t="s">
        <v>23</v>
      </c>
      <c r="E219" s="53">
        <v>0.65271400000000002</v>
      </c>
      <c r="F219" s="53">
        <v>48.875559518373009</v>
      </c>
      <c r="G219" s="53">
        <v>95.217319075676784</v>
      </c>
      <c r="H219" s="54">
        <v>17.607902138236426</v>
      </c>
      <c r="I219" s="59">
        <v>0</v>
      </c>
    </row>
    <row r="220" spans="2:9" x14ac:dyDescent="0.15">
      <c r="B220" s="67"/>
      <c r="C220" s="69" t="s">
        <v>25</v>
      </c>
      <c r="D220" s="55" t="s">
        <v>17</v>
      </c>
      <c r="E220" s="56">
        <v>0.65271400000000002</v>
      </c>
      <c r="F220" s="56">
        <v>48.875559518373009</v>
      </c>
      <c r="G220" s="56">
        <v>95.217319075676784</v>
      </c>
      <c r="H220" s="57">
        <v>16.016305388236425</v>
      </c>
      <c r="I220" s="60">
        <v>0</v>
      </c>
    </row>
    <row r="221" spans="2:9" x14ac:dyDescent="0.15">
      <c r="B221" s="67"/>
      <c r="C221" s="69"/>
      <c r="D221" s="55" t="s">
        <v>19</v>
      </c>
      <c r="E221" s="56">
        <v>0.65271400000000002</v>
      </c>
      <c r="F221" s="56">
        <v>48.875559518373009</v>
      </c>
      <c r="G221" s="56">
        <v>95.217319075676784</v>
      </c>
      <c r="H221" s="57">
        <v>16.387677963236428</v>
      </c>
      <c r="I221" s="60">
        <v>0</v>
      </c>
    </row>
    <row r="222" spans="2:9" x14ac:dyDescent="0.15">
      <c r="B222" s="67"/>
      <c r="C222" s="69"/>
      <c r="D222" s="55" t="s">
        <v>21</v>
      </c>
      <c r="E222" s="56">
        <v>0.65271400000000002</v>
      </c>
      <c r="F222" s="56">
        <v>48.875559518373009</v>
      </c>
      <c r="G222" s="56">
        <v>95.217319075676784</v>
      </c>
      <c r="H222" s="57">
        <v>16.865156988236429</v>
      </c>
      <c r="I222" s="60">
        <v>0</v>
      </c>
    </row>
    <row r="223" spans="2:9" ht="14" thickBot="1" x14ac:dyDescent="0.2">
      <c r="B223" s="67"/>
      <c r="C223" s="69"/>
      <c r="D223" s="55" t="s">
        <v>23</v>
      </c>
      <c r="E223" s="56">
        <v>0.65271400000000002</v>
      </c>
      <c r="F223" s="56">
        <v>48.875559518373009</v>
      </c>
      <c r="G223" s="56">
        <v>95.217319075676784</v>
      </c>
      <c r="H223" s="57">
        <v>17.607902138236426</v>
      </c>
      <c r="I223" s="60">
        <v>0</v>
      </c>
    </row>
    <row r="224" spans="2:9" x14ac:dyDescent="0.15">
      <c r="B224" s="65" t="s">
        <v>53</v>
      </c>
      <c r="C224" s="66" t="s">
        <v>16</v>
      </c>
      <c r="D224" s="49" t="s">
        <v>17</v>
      </c>
      <c r="E224" s="50">
        <v>0.64072299999999993</v>
      </c>
      <c r="F224" s="50">
        <v>51.175928976481423</v>
      </c>
      <c r="G224" s="50">
        <v>95.211110201106635</v>
      </c>
      <c r="H224" s="51">
        <v>16.694971221392805</v>
      </c>
      <c r="I224" s="58">
        <v>0</v>
      </c>
    </row>
    <row r="225" spans="2:9" x14ac:dyDescent="0.15">
      <c r="B225" s="67"/>
      <c r="C225" s="68"/>
      <c r="D225" s="52" t="s">
        <v>19</v>
      </c>
      <c r="E225" s="53">
        <v>0.64072299999999993</v>
      </c>
      <c r="F225" s="53">
        <v>51.175928976481423</v>
      </c>
      <c r="G225" s="53">
        <v>95.211110201106635</v>
      </c>
      <c r="H225" s="54">
        <v>17.079728986392805</v>
      </c>
      <c r="I225" s="59">
        <v>0</v>
      </c>
    </row>
    <row r="226" spans="2:9" x14ac:dyDescent="0.15">
      <c r="B226" s="67"/>
      <c r="C226" s="68"/>
      <c r="D226" s="52" t="s">
        <v>21</v>
      </c>
      <c r="E226" s="53">
        <v>0.64072299999999993</v>
      </c>
      <c r="F226" s="53">
        <v>51.175928976481423</v>
      </c>
      <c r="G226" s="53">
        <v>95.211110201106635</v>
      </c>
      <c r="H226" s="54">
        <v>17.574417541392808</v>
      </c>
      <c r="I226" s="59">
        <v>0</v>
      </c>
    </row>
    <row r="227" spans="2:9" x14ac:dyDescent="0.15">
      <c r="B227" s="67"/>
      <c r="C227" s="68"/>
      <c r="D227" s="52" t="s">
        <v>23</v>
      </c>
      <c r="E227" s="53">
        <v>0.64072299999999993</v>
      </c>
      <c r="F227" s="53">
        <v>51.175928976481423</v>
      </c>
      <c r="G227" s="53">
        <v>95.211110201106635</v>
      </c>
      <c r="H227" s="54">
        <v>18.343933071392808</v>
      </c>
      <c r="I227" s="59">
        <v>0</v>
      </c>
    </row>
    <row r="228" spans="2:9" x14ac:dyDescent="0.15">
      <c r="B228" s="67"/>
      <c r="C228" s="69" t="s">
        <v>25</v>
      </c>
      <c r="D228" s="55" t="s">
        <v>17</v>
      </c>
      <c r="E228" s="56">
        <v>0.64072299999999993</v>
      </c>
      <c r="F228" s="56">
        <v>51.175928976481423</v>
      </c>
      <c r="G228" s="56">
        <v>95.211110201106635</v>
      </c>
      <c r="H228" s="57">
        <v>16.694971221392805</v>
      </c>
      <c r="I228" s="60">
        <v>0</v>
      </c>
    </row>
    <row r="229" spans="2:9" x14ac:dyDescent="0.15">
      <c r="B229" s="67"/>
      <c r="C229" s="69"/>
      <c r="D229" s="55" t="s">
        <v>19</v>
      </c>
      <c r="E229" s="56">
        <v>0.64072299999999993</v>
      </c>
      <c r="F229" s="56">
        <v>51.175928976481423</v>
      </c>
      <c r="G229" s="56">
        <v>95.211110201106635</v>
      </c>
      <c r="H229" s="57">
        <v>17.079728986392805</v>
      </c>
      <c r="I229" s="60">
        <v>0</v>
      </c>
    </row>
    <row r="230" spans="2:9" x14ac:dyDescent="0.15">
      <c r="B230" s="67"/>
      <c r="C230" s="69"/>
      <c r="D230" s="55" t="s">
        <v>21</v>
      </c>
      <c r="E230" s="56">
        <v>0.64072299999999993</v>
      </c>
      <c r="F230" s="56">
        <v>51.175928976481423</v>
      </c>
      <c r="G230" s="56">
        <v>95.211110201106635</v>
      </c>
      <c r="H230" s="57">
        <v>17.574417541392808</v>
      </c>
      <c r="I230" s="60">
        <v>0</v>
      </c>
    </row>
    <row r="231" spans="2:9" ht="14" thickBot="1" x14ac:dyDescent="0.2">
      <c r="B231" s="67"/>
      <c r="C231" s="69"/>
      <c r="D231" s="55" t="s">
        <v>23</v>
      </c>
      <c r="E231" s="56">
        <v>0.64072299999999993</v>
      </c>
      <c r="F231" s="56">
        <v>51.175928976481423</v>
      </c>
      <c r="G231" s="56">
        <v>95.211110201106635</v>
      </c>
      <c r="H231" s="57">
        <v>18.343933071392808</v>
      </c>
      <c r="I231" s="60">
        <v>0</v>
      </c>
    </row>
    <row r="232" spans="2:9" x14ac:dyDescent="0.15">
      <c r="B232" s="65" t="s">
        <v>54</v>
      </c>
      <c r="C232" s="66" t="s">
        <v>16</v>
      </c>
      <c r="D232" s="49" t="s">
        <v>17</v>
      </c>
      <c r="E232" s="50">
        <v>0.63684450000000004</v>
      </c>
      <c r="F232" s="50">
        <v>49.887168988578836</v>
      </c>
      <c r="G232" s="50">
        <v>95.21766050814503</v>
      </c>
      <c r="H232" s="51">
        <v>16.52815079624386</v>
      </c>
      <c r="I232" s="58">
        <v>1598</v>
      </c>
    </row>
    <row r="233" spans="2:9" x14ac:dyDescent="0.15">
      <c r="B233" s="67"/>
      <c r="C233" s="68"/>
      <c r="D233" s="52" t="s">
        <v>19</v>
      </c>
      <c r="E233" s="53">
        <v>0.63687050000000001</v>
      </c>
      <c r="F233" s="53">
        <v>49.887168988578836</v>
      </c>
      <c r="G233" s="53">
        <v>95.21766050814503</v>
      </c>
      <c r="H233" s="54">
        <v>16.922452540994922</v>
      </c>
      <c r="I233" s="59">
        <v>0</v>
      </c>
    </row>
    <row r="234" spans="2:9" x14ac:dyDescent="0.15">
      <c r="B234" s="67"/>
      <c r="C234" s="68"/>
      <c r="D234" s="52" t="s">
        <v>21</v>
      </c>
      <c r="E234" s="53">
        <v>0.63687050000000001</v>
      </c>
      <c r="F234" s="53">
        <v>49.887168988578836</v>
      </c>
      <c r="G234" s="53">
        <v>95.21766050814503</v>
      </c>
      <c r="H234" s="54">
        <v>17.430337705994923</v>
      </c>
      <c r="I234" s="59">
        <v>0</v>
      </c>
    </row>
    <row r="235" spans="2:9" x14ac:dyDescent="0.15">
      <c r="B235" s="67"/>
      <c r="C235" s="68"/>
      <c r="D235" s="52" t="s">
        <v>23</v>
      </c>
      <c r="E235" s="53">
        <v>0.63687050000000001</v>
      </c>
      <c r="F235" s="53">
        <v>49.887168988578836</v>
      </c>
      <c r="G235" s="53">
        <v>95.21766050814503</v>
      </c>
      <c r="H235" s="54">
        <v>18.220381295994923</v>
      </c>
      <c r="I235" s="59">
        <v>0</v>
      </c>
    </row>
    <row r="236" spans="2:9" x14ac:dyDescent="0.15">
      <c r="B236" s="67"/>
      <c r="C236" s="69" t="s">
        <v>25</v>
      </c>
      <c r="D236" s="55" t="s">
        <v>17</v>
      </c>
      <c r="E236" s="56">
        <v>0.63686100000000001</v>
      </c>
      <c r="F236" s="56">
        <v>49.889128988541245</v>
      </c>
      <c r="G236" s="56">
        <v>95.217683142810301</v>
      </c>
      <c r="H236" s="57">
        <v>16.528180010288288</v>
      </c>
      <c r="I236" s="60">
        <v>1511.5</v>
      </c>
    </row>
    <row r="237" spans="2:9" x14ac:dyDescent="0.15">
      <c r="B237" s="67"/>
      <c r="C237" s="69"/>
      <c r="D237" s="55" t="s">
        <v>19</v>
      </c>
      <c r="E237" s="56">
        <v>0.63687050000000001</v>
      </c>
      <c r="F237" s="56">
        <v>49.887168988578836</v>
      </c>
      <c r="G237" s="56">
        <v>95.21766050814503</v>
      </c>
      <c r="H237" s="57">
        <v>16.922452540994922</v>
      </c>
      <c r="I237" s="60">
        <v>0</v>
      </c>
    </row>
    <row r="238" spans="2:9" x14ac:dyDescent="0.15">
      <c r="B238" s="67"/>
      <c r="C238" s="69"/>
      <c r="D238" s="55" t="s">
        <v>21</v>
      </c>
      <c r="E238" s="56">
        <v>0.63687050000000001</v>
      </c>
      <c r="F238" s="56">
        <v>49.887168988578836</v>
      </c>
      <c r="G238" s="56">
        <v>95.21766050814503</v>
      </c>
      <c r="H238" s="57">
        <v>17.430337705994923</v>
      </c>
      <c r="I238" s="60">
        <v>0</v>
      </c>
    </row>
    <row r="239" spans="2:9" ht="14" thickBot="1" x14ac:dyDescent="0.2">
      <c r="B239" s="67"/>
      <c r="C239" s="69"/>
      <c r="D239" s="55" t="s">
        <v>23</v>
      </c>
      <c r="E239" s="56">
        <v>0.63687050000000001</v>
      </c>
      <c r="F239" s="56">
        <v>49.887168988578836</v>
      </c>
      <c r="G239" s="56">
        <v>95.21766050814503</v>
      </c>
      <c r="H239" s="57">
        <v>18.220381295994923</v>
      </c>
      <c r="I239" s="60">
        <v>0</v>
      </c>
    </row>
    <row r="240" spans="2:9" x14ac:dyDescent="0.15">
      <c r="B240" s="65" t="s">
        <v>55</v>
      </c>
      <c r="C240" s="66" t="s">
        <v>16</v>
      </c>
      <c r="D240" s="49" t="s">
        <v>17</v>
      </c>
      <c r="E240" s="50">
        <v>0.60161749999999992</v>
      </c>
      <c r="F240" s="50">
        <v>56.083559999999999</v>
      </c>
      <c r="G240" s="50">
        <v>95.216900166674705</v>
      </c>
      <c r="H240" s="51">
        <v>18.411319019944777</v>
      </c>
      <c r="I240" s="58">
        <v>0</v>
      </c>
    </row>
    <row r="241" spans="2:9" x14ac:dyDescent="0.15">
      <c r="B241" s="67"/>
      <c r="C241" s="68"/>
      <c r="D241" s="52" t="s">
        <v>19</v>
      </c>
      <c r="E241" s="53">
        <v>0.60161749999999992</v>
      </c>
      <c r="F241" s="53">
        <v>56.083559999999999</v>
      </c>
      <c r="G241" s="53">
        <v>95.216900166674705</v>
      </c>
      <c r="H241" s="54">
        <v>18.828465014944779</v>
      </c>
      <c r="I241" s="59">
        <v>0</v>
      </c>
    </row>
    <row r="242" spans="2:9" x14ac:dyDescent="0.15">
      <c r="B242" s="67"/>
      <c r="C242" s="68"/>
      <c r="D242" s="52" t="s">
        <v>21</v>
      </c>
      <c r="E242" s="53">
        <v>0.60161749999999992</v>
      </c>
      <c r="F242" s="53">
        <v>56.083559999999999</v>
      </c>
      <c r="G242" s="53">
        <v>95.216900166674705</v>
      </c>
      <c r="H242" s="54">
        <v>19.364795579944779</v>
      </c>
      <c r="I242" s="59">
        <v>0</v>
      </c>
    </row>
    <row r="243" spans="2:9" x14ac:dyDescent="0.15">
      <c r="B243" s="67"/>
      <c r="C243" s="68"/>
      <c r="D243" s="52" t="s">
        <v>23</v>
      </c>
      <c r="E243" s="53">
        <v>0.60161749999999992</v>
      </c>
      <c r="F243" s="53">
        <v>56.083559999999999</v>
      </c>
      <c r="G243" s="53">
        <v>95.216900166674705</v>
      </c>
      <c r="H243" s="54">
        <v>20.199087569944783</v>
      </c>
      <c r="I243" s="59">
        <v>0</v>
      </c>
    </row>
    <row r="244" spans="2:9" x14ac:dyDescent="0.15">
      <c r="B244" s="67"/>
      <c r="C244" s="69" t="s">
        <v>25</v>
      </c>
      <c r="D244" s="55" t="s">
        <v>17</v>
      </c>
      <c r="E244" s="56">
        <v>0.60161749999999992</v>
      </c>
      <c r="F244" s="56">
        <v>56.083559999999999</v>
      </c>
      <c r="G244" s="56">
        <v>95.216900166674705</v>
      </c>
      <c r="H244" s="57">
        <v>18.411319019944777</v>
      </c>
      <c r="I244" s="60">
        <v>0</v>
      </c>
    </row>
    <row r="245" spans="2:9" x14ac:dyDescent="0.15">
      <c r="B245" s="67"/>
      <c r="C245" s="69"/>
      <c r="D245" s="55" t="s">
        <v>19</v>
      </c>
      <c r="E245" s="56">
        <v>0.60161749999999992</v>
      </c>
      <c r="F245" s="56">
        <v>56.083559999999999</v>
      </c>
      <c r="G245" s="56">
        <v>95.216900166674705</v>
      </c>
      <c r="H245" s="57">
        <v>18.828465014944779</v>
      </c>
      <c r="I245" s="60">
        <v>0</v>
      </c>
    </row>
    <row r="246" spans="2:9" x14ac:dyDescent="0.15">
      <c r="B246" s="67"/>
      <c r="C246" s="69"/>
      <c r="D246" s="55" t="s">
        <v>21</v>
      </c>
      <c r="E246" s="56">
        <v>0.60161749999999992</v>
      </c>
      <c r="F246" s="56">
        <v>56.083559999999999</v>
      </c>
      <c r="G246" s="56">
        <v>95.216900166674705</v>
      </c>
      <c r="H246" s="57">
        <v>19.364795579944779</v>
      </c>
      <c r="I246" s="60">
        <v>0</v>
      </c>
    </row>
    <row r="247" spans="2:9" ht="14" thickBot="1" x14ac:dyDescent="0.2">
      <c r="B247" s="67"/>
      <c r="C247" s="69"/>
      <c r="D247" s="55" t="s">
        <v>23</v>
      </c>
      <c r="E247" s="56">
        <v>0.60161749999999992</v>
      </c>
      <c r="F247" s="56">
        <v>56.083559999999999</v>
      </c>
      <c r="G247" s="56">
        <v>95.216900166674705</v>
      </c>
      <c r="H247" s="57">
        <v>20.199087569944783</v>
      </c>
      <c r="I247" s="60">
        <v>0</v>
      </c>
    </row>
    <row r="248" spans="2:9" x14ac:dyDescent="0.15">
      <c r="B248" s="65" t="s">
        <v>56</v>
      </c>
      <c r="C248" s="66" t="s">
        <v>16</v>
      </c>
      <c r="D248" s="49" t="s">
        <v>17</v>
      </c>
      <c r="E248" s="50">
        <v>0.59941149999999999</v>
      </c>
      <c r="F248" s="50">
        <v>56.421078299463055</v>
      </c>
      <c r="G248" s="50">
        <v>95.216151091961024</v>
      </c>
      <c r="H248" s="51">
        <v>18.480085943322539</v>
      </c>
      <c r="I248" s="58">
        <v>0</v>
      </c>
    </row>
    <row r="249" spans="2:9" x14ac:dyDescent="0.15">
      <c r="B249" s="67"/>
      <c r="C249" s="68"/>
      <c r="D249" s="52" t="s">
        <v>19</v>
      </c>
      <c r="E249" s="53">
        <v>0.59941149999999999</v>
      </c>
      <c r="F249" s="53">
        <v>56.421078299463055</v>
      </c>
      <c r="G249" s="53">
        <v>95.216151091961024</v>
      </c>
      <c r="H249" s="54">
        <v>18.89789630832254</v>
      </c>
      <c r="I249" s="59">
        <v>0</v>
      </c>
    </row>
    <row r="250" spans="2:9" x14ac:dyDescent="0.15">
      <c r="B250" s="67"/>
      <c r="C250" s="68"/>
      <c r="D250" s="52" t="s">
        <v>21</v>
      </c>
      <c r="E250" s="53">
        <v>0.59941149999999999</v>
      </c>
      <c r="F250" s="53">
        <v>56.421078299463055</v>
      </c>
      <c r="G250" s="53">
        <v>95.216151091961024</v>
      </c>
      <c r="H250" s="54">
        <v>19.435081063322539</v>
      </c>
      <c r="I250" s="59">
        <v>0</v>
      </c>
    </row>
    <row r="251" spans="2:9" x14ac:dyDescent="0.15">
      <c r="B251" s="67"/>
      <c r="C251" s="68"/>
      <c r="D251" s="52" t="s">
        <v>23</v>
      </c>
      <c r="E251" s="53">
        <v>0.59941149999999999</v>
      </c>
      <c r="F251" s="53">
        <v>56.421078299463055</v>
      </c>
      <c r="G251" s="53">
        <v>95.216151091961024</v>
      </c>
      <c r="H251" s="54">
        <v>20.270701793322537</v>
      </c>
      <c r="I251" s="59">
        <v>0</v>
      </c>
    </row>
    <row r="252" spans="2:9" x14ac:dyDescent="0.15">
      <c r="B252" s="67"/>
      <c r="C252" s="69" t="s">
        <v>25</v>
      </c>
      <c r="D252" s="55" t="s">
        <v>17</v>
      </c>
      <c r="E252" s="56">
        <v>0.59941149999999999</v>
      </c>
      <c r="F252" s="56">
        <v>56.421078299463055</v>
      </c>
      <c r="G252" s="56">
        <v>95.216151091961024</v>
      </c>
      <c r="H252" s="57">
        <v>18.480085943322539</v>
      </c>
      <c r="I252" s="60">
        <v>0</v>
      </c>
    </row>
    <row r="253" spans="2:9" x14ac:dyDescent="0.15">
      <c r="B253" s="67"/>
      <c r="C253" s="69"/>
      <c r="D253" s="55" t="s">
        <v>19</v>
      </c>
      <c r="E253" s="56">
        <v>0.59941149999999999</v>
      </c>
      <c r="F253" s="56">
        <v>56.421078299463055</v>
      </c>
      <c r="G253" s="56">
        <v>95.216151091961024</v>
      </c>
      <c r="H253" s="57">
        <v>18.89789630832254</v>
      </c>
      <c r="I253" s="60">
        <v>0</v>
      </c>
    </row>
    <row r="254" spans="2:9" x14ac:dyDescent="0.15">
      <c r="B254" s="67"/>
      <c r="C254" s="69"/>
      <c r="D254" s="55" t="s">
        <v>21</v>
      </c>
      <c r="E254" s="56">
        <v>0.59941149999999999</v>
      </c>
      <c r="F254" s="56">
        <v>56.421078299463055</v>
      </c>
      <c r="G254" s="56">
        <v>95.216151091961024</v>
      </c>
      <c r="H254" s="57">
        <v>19.435081063322539</v>
      </c>
      <c r="I254" s="60">
        <v>0</v>
      </c>
    </row>
    <row r="255" spans="2:9" ht="14" thickBot="1" x14ac:dyDescent="0.2">
      <c r="B255" s="67"/>
      <c r="C255" s="69"/>
      <c r="D255" s="55" t="s">
        <v>23</v>
      </c>
      <c r="E255" s="56">
        <v>0.59941149999999999</v>
      </c>
      <c r="F255" s="56">
        <v>56.421078299463055</v>
      </c>
      <c r="G255" s="56">
        <v>95.216151091961024</v>
      </c>
      <c r="H255" s="57">
        <v>20.270701793322537</v>
      </c>
      <c r="I255" s="60">
        <v>0</v>
      </c>
    </row>
    <row r="256" spans="2:9" x14ac:dyDescent="0.15">
      <c r="B256" s="65" t="s">
        <v>57</v>
      </c>
      <c r="C256" s="66" t="s">
        <v>16</v>
      </c>
      <c r="D256" s="49" t="s">
        <v>17</v>
      </c>
      <c r="E256" s="50">
        <v>0.57965099999999992</v>
      </c>
      <c r="F256" s="50">
        <v>58.272168834556624</v>
      </c>
      <c r="G256" s="50">
        <v>95.216045524277462</v>
      </c>
      <c r="H256" s="51">
        <v>19.098660721764883</v>
      </c>
      <c r="I256" s="58">
        <v>16</v>
      </c>
    </row>
    <row r="257" spans="2:9" x14ac:dyDescent="0.15">
      <c r="B257" s="67"/>
      <c r="C257" s="68"/>
      <c r="D257" s="52" t="s">
        <v>19</v>
      </c>
      <c r="E257" s="53">
        <v>0.57965099999999992</v>
      </c>
      <c r="F257" s="53">
        <v>58.272168834556624</v>
      </c>
      <c r="G257" s="53">
        <v>95.216045524277462</v>
      </c>
      <c r="H257" s="54">
        <v>19.532107766764881</v>
      </c>
      <c r="I257" s="59">
        <v>0</v>
      </c>
    </row>
    <row r="258" spans="2:9" x14ac:dyDescent="0.15">
      <c r="B258" s="67"/>
      <c r="C258" s="68"/>
      <c r="D258" s="52" t="s">
        <v>21</v>
      </c>
      <c r="E258" s="53">
        <v>0.57965099999999992</v>
      </c>
      <c r="F258" s="53">
        <v>58.272168834556624</v>
      </c>
      <c r="G258" s="53">
        <v>95.216045524277462</v>
      </c>
      <c r="H258" s="54">
        <v>20.089406081764878</v>
      </c>
      <c r="I258" s="59">
        <v>0</v>
      </c>
    </row>
    <row r="259" spans="2:9" x14ac:dyDescent="0.15">
      <c r="B259" s="67"/>
      <c r="C259" s="68"/>
      <c r="D259" s="52" t="s">
        <v>23</v>
      </c>
      <c r="E259" s="53">
        <v>0.57965099999999992</v>
      </c>
      <c r="F259" s="53">
        <v>58.272168834556624</v>
      </c>
      <c r="G259" s="53">
        <v>95.216045524277462</v>
      </c>
      <c r="H259" s="54">
        <v>20.956314571764878</v>
      </c>
      <c r="I259" s="59">
        <v>0</v>
      </c>
    </row>
    <row r="260" spans="2:9" x14ac:dyDescent="0.15">
      <c r="B260" s="67"/>
      <c r="C260" s="69" t="s">
        <v>25</v>
      </c>
      <c r="D260" s="55" t="s">
        <v>17</v>
      </c>
      <c r="E260" s="56">
        <v>0.57966249999999997</v>
      </c>
      <c r="F260" s="56">
        <v>58.271899424453409</v>
      </c>
      <c r="G260" s="56">
        <v>95.216055897867221</v>
      </c>
      <c r="H260" s="57">
        <v>19.098759119017419</v>
      </c>
      <c r="I260" s="60">
        <v>16.5</v>
      </c>
    </row>
    <row r="261" spans="2:9" x14ac:dyDescent="0.15">
      <c r="B261" s="67"/>
      <c r="C261" s="69"/>
      <c r="D261" s="55" t="s">
        <v>19</v>
      </c>
      <c r="E261" s="56">
        <v>0.57965099999999992</v>
      </c>
      <c r="F261" s="56">
        <v>58.272168834556624</v>
      </c>
      <c r="G261" s="56">
        <v>95.216045524277462</v>
      </c>
      <c r="H261" s="57">
        <v>19.532107766764881</v>
      </c>
      <c r="I261" s="60">
        <v>0</v>
      </c>
    </row>
    <row r="262" spans="2:9" x14ac:dyDescent="0.15">
      <c r="B262" s="67"/>
      <c r="C262" s="69"/>
      <c r="D262" s="55" t="s">
        <v>21</v>
      </c>
      <c r="E262" s="56">
        <v>0.57965099999999992</v>
      </c>
      <c r="F262" s="56">
        <v>58.272168834556624</v>
      </c>
      <c r="G262" s="56">
        <v>95.216045524277462</v>
      </c>
      <c r="H262" s="57">
        <v>20.089406081764878</v>
      </c>
      <c r="I262" s="60">
        <v>0</v>
      </c>
    </row>
    <row r="263" spans="2:9" ht="14" thickBot="1" x14ac:dyDescent="0.2">
      <c r="B263" s="67"/>
      <c r="C263" s="69"/>
      <c r="D263" s="55" t="s">
        <v>23</v>
      </c>
      <c r="E263" s="56">
        <v>0.57965099999999992</v>
      </c>
      <c r="F263" s="56">
        <v>58.272168834556624</v>
      </c>
      <c r="G263" s="56">
        <v>95.216045524277462</v>
      </c>
      <c r="H263" s="57">
        <v>20.956314571764878</v>
      </c>
      <c r="I263" s="60">
        <v>0</v>
      </c>
    </row>
    <row r="264" spans="2:9" x14ac:dyDescent="0.15">
      <c r="B264" s="65" t="s">
        <v>58</v>
      </c>
      <c r="C264" s="66" t="s">
        <v>16</v>
      </c>
      <c r="D264" s="49" t="s">
        <v>17</v>
      </c>
      <c r="E264" s="50">
        <v>0.57344499999999998</v>
      </c>
      <c r="F264" s="50">
        <v>59.026258251517902</v>
      </c>
      <c r="G264" s="50">
        <v>95.215629329398681</v>
      </c>
      <c r="H264" s="51">
        <v>19.342377890890798</v>
      </c>
      <c r="I264" s="58">
        <v>15.5</v>
      </c>
    </row>
    <row r="265" spans="2:9" x14ac:dyDescent="0.15">
      <c r="B265" s="67"/>
      <c r="C265" s="68"/>
      <c r="D265" s="52" t="s">
        <v>19</v>
      </c>
      <c r="E265" s="53">
        <v>0.57344499999999998</v>
      </c>
      <c r="F265" s="53">
        <v>59.026258251517902</v>
      </c>
      <c r="G265" s="53">
        <v>95.215629329398681</v>
      </c>
      <c r="H265" s="54">
        <v>19.779055030890795</v>
      </c>
      <c r="I265" s="59">
        <v>0</v>
      </c>
    </row>
    <row r="266" spans="2:9" x14ac:dyDescent="0.15">
      <c r="B266" s="67"/>
      <c r="C266" s="68"/>
      <c r="D266" s="52" t="s">
        <v>21</v>
      </c>
      <c r="E266" s="53">
        <v>0.57344499999999998</v>
      </c>
      <c r="F266" s="53">
        <v>59.026258251517902</v>
      </c>
      <c r="G266" s="53">
        <v>95.215629329398681</v>
      </c>
      <c r="H266" s="54">
        <v>20.340506035890797</v>
      </c>
      <c r="I266" s="59">
        <v>0</v>
      </c>
    </row>
    <row r="267" spans="2:9" x14ac:dyDescent="0.15">
      <c r="B267" s="67"/>
      <c r="C267" s="68"/>
      <c r="D267" s="52" t="s">
        <v>23</v>
      </c>
      <c r="E267" s="53">
        <v>0.57344499999999998</v>
      </c>
      <c r="F267" s="53">
        <v>59.026258251517902</v>
      </c>
      <c r="G267" s="53">
        <v>95.215629329398681</v>
      </c>
      <c r="H267" s="54">
        <v>21.213874265890801</v>
      </c>
      <c r="I267" s="59">
        <v>0</v>
      </c>
    </row>
    <row r="268" spans="2:9" x14ac:dyDescent="0.15">
      <c r="B268" s="67"/>
      <c r="C268" s="69" t="s">
        <v>25</v>
      </c>
      <c r="D268" s="55" t="s">
        <v>17</v>
      </c>
      <c r="E268" s="56">
        <v>0.57346200000000003</v>
      </c>
      <c r="F268" s="56">
        <v>59.0260282515179</v>
      </c>
      <c r="G268" s="56">
        <v>95.215622185498489</v>
      </c>
      <c r="H268" s="57">
        <v>19.342093997372679</v>
      </c>
      <c r="I268" s="60">
        <v>28.5</v>
      </c>
    </row>
    <row r="269" spans="2:9" x14ac:dyDescent="0.15">
      <c r="B269" s="67"/>
      <c r="C269" s="69"/>
      <c r="D269" s="55" t="s">
        <v>19</v>
      </c>
      <c r="E269" s="56">
        <v>0.57344499999999998</v>
      </c>
      <c r="F269" s="56">
        <v>59.026258251517902</v>
      </c>
      <c r="G269" s="56">
        <v>95.215629329398681</v>
      </c>
      <c r="H269" s="57">
        <v>19.779055030890795</v>
      </c>
      <c r="I269" s="60">
        <v>0</v>
      </c>
    </row>
    <row r="270" spans="2:9" x14ac:dyDescent="0.15">
      <c r="B270" s="67"/>
      <c r="C270" s="69"/>
      <c r="D270" s="55" t="s">
        <v>21</v>
      </c>
      <c r="E270" s="56">
        <v>0.57344499999999998</v>
      </c>
      <c r="F270" s="56">
        <v>59.026258251517902</v>
      </c>
      <c r="G270" s="56">
        <v>95.215629329398681</v>
      </c>
      <c r="H270" s="57">
        <v>20.340506035890797</v>
      </c>
      <c r="I270" s="60">
        <v>0</v>
      </c>
    </row>
    <row r="271" spans="2:9" ht="14" thickBot="1" x14ac:dyDescent="0.2">
      <c r="B271" s="67"/>
      <c r="C271" s="69"/>
      <c r="D271" s="55" t="s">
        <v>23</v>
      </c>
      <c r="E271" s="56">
        <v>0.57344499999999998</v>
      </c>
      <c r="F271" s="56">
        <v>59.026258251517902</v>
      </c>
      <c r="G271" s="56">
        <v>95.215629329398681</v>
      </c>
      <c r="H271" s="57">
        <v>21.213874265890801</v>
      </c>
      <c r="I271" s="60">
        <v>0</v>
      </c>
    </row>
    <row r="272" spans="2:9" x14ac:dyDescent="0.15">
      <c r="B272" s="65" t="s">
        <v>59</v>
      </c>
      <c r="C272" s="66" t="s">
        <v>16</v>
      </c>
      <c r="D272" s="49" t="s">
        <v>17</v>
      </c>
      <c r="E272" s="50">
        <v>0.57806049999999998</v>
      </c>
      <c r="F272" s="50">
        <v>60.028597598856095</v>
      </c>
      <c r="G272" s="50">
        <v>95.216633387595564</v>
      </c>
      <c r="H272" s="51">
        <v>19.709289105514092</v>
      </c>
      <c r="I272" s="58">
        <v>6.5</v>
      </c>
    </row>
    <row r="273" spans="2:9" x14ac:dyDescent="0.15">
      <c r="B273" s="67"/>
      <c r="C273" s="68"/>
      <c r="D273" s="52" t="s">
        <v>19</v>
      </c>
      <c r="E273" s="53">
        <v>0.57806049999999998</v>
      </c>
      <c r="F273" s="53">
        <v>60.028597598856095</v>
      </c>
      <c r="G273" s="53">
        <v>95.216633387595564</v>
      </c>
      <c r="H273" s="54">
        <v>20.152361855514091</v>
      </c>
      <c r="I273" s="59">
        <v>0</v>
      </c>
    </row>
    <row r="274" spans="2:9" x14ac:dyDescent="0.15">
      <c r="B274" s="67"/>
      <c r="C274" s="68"/>
      <c r="D274" s="52" t="s">
        <v>21</v>
      </c>
      <c r="E274" s="53">
        <v>0.57806049999999998</v>
      </c>
      <c r="F274" s="53">
        <v>60.028597598856095</v>
      </c>
      <c r="G274" s="53">
        <v>95.216633387595564</v>
      </c>
      <c r="H274" s="54">
        <v>20.72203058051409</v>
      </c>
      <c r="I274" s="59">
        <v>0</v>
      </c>
    </row>
    <row r="275" spans="2:9" x14ac:dyDescent="0.15">
      <c r="B275" s="67"/>
      <c r="C275" s="68"/>
      <c r="D275" s="52" t="s">
        <v>23</v>
      </c>
      <c r="E275" s="53">
        <v>0.57806049999999998</v>
      </c>
      <c r="F275" s="53">
        <v>60.028597598856095</v>
      </c>
      <c r="G275" s="53">
        <v>95.216633387595564</v>
      </c>
      <c r="H275" s="54">
        <v>21.608181930514093</v>
      </c>
      <c r="I275" s="59">
        <v>0</v>
      </c>
    </row>
    <row r="276" spans="2:9" x14ac:dyDescent="0.15">
      <c r="B276" s="67"/>
      <c r="C276" s="69" t="s">
        <v>25</v>
      </c>
      <c r="D276" s="55" t="s">
        <v>17</v>
      </c>
      <c r="E276" s="56">
        <v>0.57806049999999998</v>
      </c>
      <c r="F276" s="56">
        <v>60.0286075988557</v>
      </c>
      <c r="G276" s="56">
        <v>95.216633386357472</v>
      </c>
      <c r="H276" s="57">
        <v>19.70928690051409</v>
      </c>
      <c r="I276" s="60">
        <v>5</v>
      </c>
    </row>
    <row r="277" spans="2:9" x14ac:dyDescent="0.15">
      <c r="B277" s="67"/>
      <c r="C277" s="69"/>
      <c r="D277" s="55" t="s">
        <v>19</v>
      </c>
      <c r="E277" s="56">
        <v>0.57806049999999998</v>
      </c>
      <c r="F277" s="56">
        <v>60.028597598856095</v>
      </c>
      <c r="G277" s="56">
        <v>95.216633387595564</v>
      </c>
      <c r="H277" s="57">
        <v>20.152361855514091</v>
      </c>
      <c r="I277" s="60">
        <v>0</v>
      </c>
    </row>
    <row r="278" spans="2:9" x14ac:dyDescent="0.15">
      <c r="B278" s="67"/>
      <c r="C278" s="69"/>
      <c r="D278" s="55" t="s">
        <v>21</v>
      </c>
      <c r="E278" s="56">
        <v>0.57806049999999998</v>
      </c>
      <c r="F278" s="56">
        <v>60.028597598856095</v>
      </c>
      <c r="G278" s="56">
        <v>95.216633387595564</v>
      </c>
      <c r="H278" s="57">
        <v>20.72203058051409</v>
      </c>
      <c r="I278" s="60">
        <v>0</v>
      </c>
    </row>
    <row r="279" spans="2:9" ht="14" thickBot="1" x14ac:dyDescent="0.2">
      <c r="B279" s="67"/>
      <c r="C279" s="69"/>
      <c r="D279" s="55" t="s">
        <v>23</v>
      </c>
      <c r="E279" s="56">
        <v>0.57806049999999998</v>
      </c>
      <c r="F279" s="56">
        <v>60.028597598856095</v>
      </c>
      <c r="G279" s="56">
        <v>95.216633387595564</v>
      </c>
      <c r="H279" s="57">
        <v>21.608181930514093</v>
      </c>
      <c r="I279" s="60">
        <v>0</v>
      </c>
    </row>
    <row r="280" spans="2:9" x14ac:dyDescent="0.15">
      <c r="B280" s="65" t="s">
        <v>60</v>
      </c>
      <c r="C280" s="66" t="s">
        <v>16</v>
      </c>
      <c r="D280" s="49" t="s">
        <v>17</v>
      </c>
      <c r="E280" s="50">
        <v>0.57121650000000002</v>
      </c>
      <c r="F280" s="50">
        <v>60.674379999999999</v>
      </c>
      <c r="G280" s="50">
        <v>95.213870413795348</v>
      </c>
      <c r="H280" s="51">
        <v>19.750154214808965</v>
      </c>
      <c r="I280" s="58">
        <v>21.5</v>
      </c>
    </row>
    <row r="281" spans="2:9" x14ac:dyDescent="0.15">
      <c r="B281" s="67"/>
      <c r="C281" s="68"/>
      <c r="D281" s="52" t="s">
        <v>19</v>
      </c>
      <c r="E281" s="53">
        <v>0.57121650000000002</v>
      </c>
      <c r="F281" s="53">
        <v>60.674379999999999</v>
      </c>
      <c r="G281" s="53">
        <v>95.213870413795348</v>
      </c>
      <c r="H281" s="54">
        <v>20.190486994808964</v>
      </c>
      <c r="I281" s="59">
        <v>0</v>
      </c>
    </row>
    <row r="282" spans="2:9" x14ac:dyDescent="0.15">
      <c r="B282" s="67"/>
      <c r="C282" s="68"/>
      <c r="D282" s="52" t="s">
        <v>21</v>
      </c>
      <c r="E282" s="53">
        <v>0.57121650000000002</v>
      </c>
      <c r="F282" s="53">
        <v>60.674379999999999</v>
      </c>
      <c r="G282" s="53">
        <v>95.213870413795348</v>
      </c>
      <c r="H282" s="54">
        <v>20.756641579808967</v>
      </c>
      <c r="I282" s="59">
        <v>0</v>
      </c>
    </row>
    <row r="283" spans="2:9" x14ac:dyDescent="0.15">
      <c r="B283" s="67"/>
      <c r="C283" s="68"/>
      <c r="D283" s="52" t="s">
        <v>23</v>
      </c>
      <c r="E283" s="53">
        <v>0.57121650000000002</v>
      </c>
      <c r="F283" s="53">
        <v>60.674379999999999</v>
      </c>
      <c r="G283" s="53">
        <v>95.213870413795348</v>
      </c>
      <c r="H283" s="54">
        <v>21.637326489808963</v>
      </c>
      <c r="I283" s="59">
        <v>0</v>
      </c>
    </row>
    <row r="284" spans="2:9" x14ac:dyDescent="0.15">
      <c r="B284" s="67"/>
      <c r="C284" s="69" t="s">
        <v>25</v>
      </c>
      <c r="D284" s="55" t="s">
        <v>17</v>
      </c>
      <c r="E284" s="56">
        <v>0.57123600000000008</v>
      </c>
      <c r="F284" s="56">
        <v>60.674260000000004</v>
      </c>
      <c r="G284" s="56">
        <v>95.21385048823123</v>
      </c>
      <c r="H284" s="57">
        <v>19.749608809608002</v>
      </c>
      <c r="I284" s="60">
        <v>62.5</v>
      </c>
    </row>
    <row r="285" spans="2:9" x14ac:dyDescent="0.15">
      <c r="B285" s="67"/>
      <c r="C285" s="69"/>
      <c r="D285" s="55" t="s">
        <v>19</v>
      </c>
      <c r="E285" s="56">
        <v>0.57121650000000002</v>
      </c>
      <c r="F285" s="56">
        <v>60.674379999999999</v>
      </c>
      <c r="G285" s="56">
        <v>95.213870413795348</v>
      </c>
      <c r="H285" s="57">
        <v>20.190486994808964</v>
      </c>
      <c r="I285" s="60">
        <v>0</v>
      </c>
    </row>
    <row r="286" spans="2:9" x14ac:dyDescent="0.15">
      <c r="B286" s="67"/>
      <c r="C286" s="69"/>
      <c r="D286" s="55" t="s">
        <v>21</v>
      </c>
      <c r="E286" s="56">
        <v>0.57121650000000002</v>
      </c>
      <c r="F286" s="56">
        <v>60.674379999999999</v>
      </c>
      <c r="G286" s="56">
        <v>95.213870413795348</v>
      </c>
      <c r="H286" s="57">
        <v>20.756641579808967</v>
      </c>
      <c r="I286" s="60">
        <v>0</v>
      </c>
    </row>
    <row r="287" spans="2:9" ht="14" thickBot="1" x14ac:dyDescent="0.2">
      <c r="B287" s="67"/>
      <c r="C287" s="69"/>
      <c r="D287" s="55" t="s">
        <v>23</v>
      </c>
      <c r="E287" s="56">
        <v>0.57121650000000002</v>
      </c>
      <c r="F287" s="56">
        <v>60.674379999999999</v>
      </c>
      <c r="G287" s="56">
        <v>95.213870413795348</v>
      </c>
      <c r="H287" s="57">
        <v>21.637326489808963</v>
      </c>
      <c r="I287" s="60">
        <v>0</v>
      </c>
    </row>
    <row r="288" spans="2:9" x14ac:dyDescent="0.15">
      <c r="B288" s="65" t="s">
        <v>61</v>
      </c>
      <c r="C288" s="66" t="s">
        <v>16</v>
      </c>
      <c r="D288" s="49" t="s">
        <v>17</v>
      </c>
      <c r="E288" s="50">
        <v>0.57188499999999998</v>
      </c>
      <c r="F288" s="50">
        <v>64.682517412699298</v>
      </c>
      <c r="G288" s="50">
        <v>95.204467860234871</v>
      </c>
      <c r="H288" s="51">
        <v>20.848943745739863</v>
      </c>
      <c r="I288" s="58">
        <v>27</v>
      </c>
    </row>
    <row r="289" spans="2:9" x14ac:dyDescent="0.15">
      <c r="B289" s="67"/>
      <c r="C289" s="68"/>
      <c r="D289" s="52" t="s">
        <v>19</v>
      </c>
      <c r="E289" s="53">
        <v>0.57188550000000005</v>
      </c>
      <c r="F289" s="53">
        <v>64.682517412699298</v>
      </c>
      <c r="G289" s="53">
        <v>95.204467860234871</v>
      </c>
      <c r="H289" s="54">
        <v>21.309387569911593</v>
      </c>
      <c r="I289" s="59">
        <v>1</v>
      </c>
    </row>
    <row r="290" spans="2:9" x14ac:dyDescent="0.15">
      <c r="B290" s="67"/>
      <c r="C290" s="68"/>
      <c r="D290" s="52" t="s">
        <v>21</v>
      </c>
      <c r="E290" s="53">
        <v>0.57188550000000005</v>
      </c>
      <c r="F290" s="53">
        <v>64.682517412699298</v>
      </c>
      <c r="G290" s="53">
        <v>95.204467860234871</v>
      </c>
      <c r="H290" s="54">
        <v>21.901401244911593</v>
      </c>
      <c r="I290" s="59">
        <v>0</v>
      </c>
    </row>
    <row r="291" spans="2:9" x14ac:dyDescent="0.15">
      <c r="B291" s="67"/>
      <c r="C291" s="68"/>
      <c r="D291" s="52" t="s">
        <v>23</v>
      </c>
      <c r="E291" s="53">
        <v>0.57188550000000005</v>
      </c>
      <c r="F291" s="53">
        <v>64.682517412699298</v>
      </c>
      <c r="G291" s="53">
        <v>95.204467860234871</v>
      </c>
      <c r="H291" s="54">
        <v>22.822312214911591</v>
      </c>
      <c r="I291" s="59">
        <v>0</v>
      </c>
    </row>
    <row r="292" spans="2:9" x14ac:dyDescent="0.15">
      <c r="B292" s="67"/>
      <c r="C292" s="69" t="s">
        <v>25</v>
      </c>
      <c r="D292" s="55" t="s">
        <v>17</v>
      </c>
      <c r="E292" s="56">
        <v>0.57193000000000005</v>
      </c>
      <c r="F292" s="56">
        <v>64.682557412697705</v>
      </c>
      <c r="G292" s="56">
        <v>95.204507673871845</v>
      </c>
      <c r="H292" s="57">
        <v>20.849809820277493</v>
      </c>
      <c r="I292" s="60">
        <v>2988.5</v>
      </c>
    </row>
    <row r="293" spans="2:9" x14ac:dyDescent="0.15">
      <c r="B293" s="67"/>
      <c r="C293" s="69"/>
      <c r="D293" s="55" t="s">
        <v>19</v>
      </c>
      <c r="E293" s="56">
        <v>0.57192399999999999</v>
      </c>
      <c r="F293" s="56">
        <v>64.682607412695702</v>
      </c>
      <c r="G293" s="56">
        <v>95.20441799562596</v>
      </c>
      <c r="H293" s="57">
        <v>21.308195885448036</v>
      </c>
      <c r="I293" s="60">
        <v>527.5</v>
      </c>
    </row>
    <row r="294" spans="2:9" x14ac:dyDescent="0.15">
      <c r="B294" s="67"/>
      <c r="C294" s="69"/>
      <c r="D294" s="55" t="s">
        <v>21</v>
      </c>
      <c r="E294" s="56">
        <v>0.57188550000000005</v>
      </c>
      <c r="F294" s="56">
        <v>64.682517412699298</v>
      </c>
      <c r="G294" s="56">
        <v>95.204467860234871</v>
      </c>
      <c r="H294" s="57">
        <v>21.901401244911593</v>
      </c>
      <c r="I294" s="60">
        <v>0</v>
      </c>
    </row>
    <row r="295" spans="2:9" ht="14" thickBot="1" x14ac:dyDescent="0.2">
      <c r="B295" s="67"/>
      <c r="C295" s="69"/>
      <c r="D295" s="55" t="s">
        <v>23</v>
      </c>
      <c r="E295" s="56">
        <v>0.57188550000000005</v>
      </c>
      <c r="F295" s="56">
        <v>64.682517412699298</v>
      </c>
      <c r="G295" s="56">
        <v>95.204467860234871</v>
      </c>
      <c r="H295" s="57">
        <v>22.822312214911591</v>
      </c>
      <c r="I295" s="60">
        <v>0</v>
      </c>
    </row>
    <row r="296" spans="2:9" x14ac:dyDescent="0.15">
      <c r="B296" s="65" t="s">
        <v>62</v>
      </c>
      <c r="C296" s="66" t="s">
        <v>16</v>
      </c>
      <c r="D296" s="49" t="s">
        <v>17</v>
      </c>
      <c r="E296" s="50">
        <v>0.68005199999999999</v>
      </c>
      <c r="F296" s="50">
        <v>56.883539999999996</v>
      </c>
      <c r="G296" s="50">
        <v>95.155261592098157</v>
      </c>
      <c r="H296" s="51">
        <v>17.54365876928501</v>
      </c>
      <c r="I296" s="58">
        <v>569.5</v>
      </c>
    </row>
    <row r="297" spans="2:9" x14ac:dyDescent="0.15">
      <c r="B297" s="67"/>
      <c r="C297" s="68"/>
      <c r="D297" s="52" t="s">
        <v>19</v>
      </c>
      <c r="E297" s="53">
        <v>0.68006149999999999</v>
      </c>
      <c r="F297" s="53">
        <v>56.883539999999996</v>
      </c>
      <c r="G297" s="53">
        <v>95.155261592098157</v>
      </c>
      <c r="H297" s="54">
        <v>17.980922627728795</v>
      </c>
      <c r="I297" s="59">
        <v>7.5</v>
      </c>
    </row>
    <row r="298" spans="2:9" x14ac:dyDescent="0.15">
      <c r="B298" s="67"/>
      <c r="C298" s="68"/>
      <c r="D298" s="52" t="s">
        <v>21</v>
      </c>
      <c r="E298" s="53">
        <v>0.68006199999999994</v>
      </c>
      <c r="F298" s="53">
        <v>56.883539999999996</v>
      </c>
      <c r="G298" s="53">
        <v>95.155261592098157</v>
      </c>
      <c r="H298" s="54">
        <v>18.543439988496445</v>
      </c>
      <c r="I298" s="59">
        <v>0</v>
      </c>
    </row>
    <row r="299" spans="2:9" x14ac:dyDescent="0.15">
      <c r="B299" s="67"/>
      <c r="C299" s="68"/>
      <c r="D299" s="52" t="s">
        <v>23</v>
      </c>
      <c r="E299" s="53">
        <v>0.68006199999999994</v>
      </c>
      <c r="F299" s="53">
        <v>56.883539999999996</v>
      </c>
      <c r="G299" s="53">
        <v>95.155261592098157</v>
      </c>
      <c r="H299" s="54">
        <v>19.418473098496449</v>
      </c>
      <c r="I299" s="59">
        <v>0</v>
      </c>
    </row>
    <row r="300" spans="2:9" x14ac:dyDescent="0.15">
      <c r="B300" s="67"/>
      <c r="C300" s="69" t="s">
        <v>25</v>
      </c>
      <c r="D300" s="55" t="s">
        <v>17</v>
      </c>
      <c r="E300" s="56">
        <v>0.67998399999999992</v>
      </c>
      <c r="F300" s="56">
        <v>56.886790000000005</v>
      </c>
      <c r="G300" s="56">
        <v>95.155320300261607</v>
      </c>
      <c r="H300" s="57">
        <v>17.545142686757004</v>
      </c>
      <c r="I300" s="60">
        <v>3138</v>
      </c>
    </row>
    <row r="301" spans="2:9" x14ac:dyDescent="0.15">
      <c r="B301" s="67"/>
      <c r="C301" s="69"/>
      <c r="D301" s="55" t="s">
        <v>19</v>
      </c>
      <c r="E301" s="56">
        <v>0.68006199999999994</v>
      </c>
      <c r="F301" s="56">
        <v>56.883539999999996</v>
      </c>
      <c r="G301" s="56">
        <v>95.155261592098157</v>
      </c>
      <c r="H301" s="57">
        <v>17.980918703496446</v>
      </c>
      <c r="I301" s="60">
        <v>0.5</v>
      </c>
    </row>
    <row r="302" spans="2:9" x14ac:dyDescent="0.15">
      <c r="B302" s="67"/>
      <c r="C302" s="69"/>
      <c r="D302" s="55" t="s">
        <v>21</v>
      </c>
      <c r="E302" s="56">
        <v>0.68006199999999994</v>
      </c>
      <c r="F302" s="56">
        <v>56.883539999999996</v>
      </c>
      <c r="G302" s="56">
        <v>95.155261592098157</v>
      </c>
      <c r="H302" s="57">
        <v>18.543439988496445</v>
      </c>
      <c r="I302" s="60">
        <v>0</v>
      </c>
    </row>
    <row r="303" spans="2:9" ht="14" thickBot="1" x14ac:dyDescent="0.2">
      <c r="B303" s="67"/>
      <c r="C303" s="69"/>
      <c r="D303" s="55" t="s">
        <v>23</v>
      </c>
      <c r="E303" s="56">
        <v>0.80379299999999998</v>
      </c>
      <c r="F303" s="56">
        <v>57.7699</v>
      </c>
      <c r="G303" s="56">
        <v>98.634255500651292</v>
      </c>
      <c r="H303" s="57">
        <v>30.085851891063257</v>
      </c>
      <c r="I303" s="60">
        <v>0</v>
      </c>
    </row>
    <row r="304" spans="2:9" x14ac:dyDescent="0.15">
      <c r="B304" s="65" t="s">
        <v>63</v>
      </c>
      <c r="C304" s="66" t="s">
        <v>16</v>
      </c>
      <c r="D304" s="49" t="s">
        <v>17</v>
      </c>
      <c r="E304" s="50">
        <v>0.69835449999999999</v>
      </c>
      <c r="F304" s="50">
        <v>57.224689999999995</v>
      </c>
      <c r="G304" s="50">
        <v>95.155193938929528</v>
      </c>
      <c r="H304" s="51">
        <v>17.644763723639315</v>
      </c>
      <c r="I304" s="58">
        <v>616.5</v>
      </c>
    </row>
    <row r="305" spans="2:9" x14ac:dyDescent="0.15">
      <c r="B305" s="67"/>
      <c r="C305" s="68"/>
      <c r="D305" s="52" t="s">
        <v>19</v>
      </c>
      <c r="E305" s="53">
        <v>0.69836549999999997</v>
      </c>
      <c r="F305" s="53">
        <v>57.224689999999995</v>
      </c>
      <c r="G305" s="53">
        <v>95.155193938929528</v>
      </c>
      <c r="H305" s="54">
        <v>18.082975615334831</v>
      </c>
      <c r="I305" s="59">
        <v>19</v>
      </c>
    </row>
    <row r="306" spans="2:9" x14ac:dyDescent="0.15">
      <c r="B306" s="67"/>
      <c r="C306" s="68"/>
      <c r="D306" s="52" t="s">
        <v>21</v>
      </c>
      <c r="E306" s="53">
        <v>0.69836549999999997</v>
      </c>
      <c r="F306" s="53">
        <v>57.224689999999995</v>
      </c>
      <c r="G306" s="53">
        <v>95.155193938929528</v>
      </c>
      <c r="H306" s="54">
        <v>18.646725465334832</v>
      </c>
      <c r="I306" s="59">
        <v>0</v>
      </c>
    </row>
    <row r="307" spans="2:9" x14ac:dyDescent="0.15">
      <c r="B307" s="67"/>
      <c r="C307" s="68"/>
      <c r="D307" s="52" t="s">
        <v>23</v>
      </c>
      <c r="E307" s="53">
        <v>0.69836549999999997</v>
      </c>
      <c r="F307" s="53">
        <v>57.224689999999995</v>
      </c>
      <c r="G307" s="53">
        <v>95.155193938929528</v>
      </c>
      <c r="H307" s="54">
        <v>19.523685045334833</v>
      </c>
      <c r="I307" s="59">
        <v>0</v>
      </c>
    </row>
    <row r="308" spans="2:9" x14ac:dyDescent="0.15">
      <c r="B308" s="67"/>
      <c r="C308" s="69" t="s">
        <v>25</v>
      </c>
      <c r="D308" s="55" t="s">
        <v>17</v>
      </c>
      <c r="E308" s="56">
        <v>0.69871349999999999</v>
      </c>
      <c r="F308" s="56">
        <v>57.226599999999998</v>
      </c>
      <c r="G308" s="56">
        <v>95.154887009653748</v>
      </c>
      <c r="H308" s="57">
        <v>17.639148604328554</v>
      </c>
      <c r="I308" s="60">
        <v>12796</v>
      </c>
    </row>
    <row r="309" spans="2:9" x14ac:dyDescent="0.15">
      <c r="B309" s="67"/>
      <c r="C309" s="69"/>
      <c r="D309" s="55" t="s">
        <v>19</v>
      </c>
      <c r="E309" s="56">
        <v>0.69835899999999995</v>
      </c>
      <c r="F309" s="56">
        <v>57.224719999999998</v>
      </c>
      <c r="G309" s="56">
        <v>95.155195412498244</v>
      </c>
      <c r="H309" s="57">
        <v>18.082919217359631</v>
      </c>
      <c r="I309" s="60">
        <v>311.5</v>
      </c>
    </row>
    <row r="310" spans="2:9" x14ac:dyDescent="0.15">
      <c r="B310" s="67"/>
      <c r="C310" s="69"/>
      <c r="D310" s="55" t="s">
        <v>21</v>
      </c>
      <c r="E310" s="56">
        <v>0.69836549999999997</v>
      </c>
      <c r="F310" s="56">
        <v>57.224689999999995</v>
      </c>
      <c r="G310" s="56">
        <v>95.155193938929528</v>
      </c>
      <c r="H310" s="57">
        <v>18.646725465334832</v>
      </c>
      <c r="I310" s="60">
        <v>0</v>
      </c>
    </row>
    <row r="311" spans="2:9" ht="14" thickBot="1" x14ac:dyDescent="0.2">
      <c r="B311" s="67"/>
      <c r="C311" s="69"/>
      <c r="D311" s="55" t="s">
        <v>23</v>
      </c>
      <c r="E311" s="56">
        <v>0.69836549999999997</v>
      </c>
      <c r="F311" s="56">
        <v>57.224689999999995</v>
      </c>
      <c r="G311" s="56">
        <v>95.155193938929528</v>
      </c>
      <c r="H311" s="57">
        <v>19.523685045334833</v>
      </c>
      <c r="I311" s="60">
        <v>0</v>
      </c>
    </row>
    <row r="312" spans="2:9" x14ac:dyDescent="0.15">
      <c r="B312" s="65" t="s">
        <v>64</v>
      </c>
      <c r="C312" s="66" t="s">
        <v>16</v>
      </c>
      <c r="D312" s="49" t="s">
        <v>17</v>
      </c>
      <c r="E312" s="50">
        <v>0.62989700000000004</v>
      </c>
      <c r="F312" s="50">
        <v>56.848716589077007</v>
      </c>
      <c r="G312" s="50">
        <v>95.162554853279474</v>
      </c>
      <c r="H312" s="51">
        <v>17.672228531223645</v>
      </c>
      <c r="I312" s="58">
        <v>1042.5</v>
      </c>
    </row>
    <row r="313" spans="2:9" x14ac:dyDescent="0.15">
      <c r="B313" s="67"/>
      <c r="C313" s="68"/>
      <c r="D313" s="52" t="s">
        <v>19</v>
      </c>
      <c r="E313" s="53">
        <v>0.62991299999999995</v>
      </c>
      <c r="F313" s="53">
        <v>56.848716589077007</v>
      </c>
      <c r="G313" s="53">
        <v>95.162554853279474</v>
      </c>
      <c r="H313" s="54">
        <v>18.107298922168173</v>
      </c>
      <c r="I313" s="59">
        <v>9.5</v>
      </c>
    </row>
    <row r="314" spans="2:9" x14ac:dyDescent="0.15">
      <c r="B314" s="67"/>
      <c r="C314" s="68"/>
      <c r="D314" s="52" t="s">
        <v>21</v>
      </c>
      <c r="E314" s="53">
        <v>0.62991350000000002</v>
      </c>
      <c r="F314" s="53">
        <v>56.848716589077007</v>
      </c>
      <c r="G314" s="53">
        <v>95.162554853279474</v>
      </c>
      <c r="H314" s="54">
        <v>18.667267803181723</v>
      </c>
      <c r="I314" s="59">
        <v>0</v>
      </c>
    </row>
    <row r="315" spans="2:9" x14ac:dyDescent="0.15">
      <c r="B315" s="67"/>
      <c r="C315" s="68"/>
      <c r="D315" s="52" t="s">
        <v>23</v>
      </c>
      <c r="E315" s="53">
        <v>0.62991350000000002</v>
      </c>
      <c r="F315" s="53">
        <v>56.848716589077007</v>
      </c>
      <c r="G315" s="53">
        <v>95.162554853279474</v>
      </c>
      <c r="H315" s="54">
        <v>19.538338213181724</v>
      </c>
      <c r="I315" s="59">
        <v>0</v>
      </c>
    </row>
    <row r="316" spans="2:9" x14ac:dyDescent="0.15">
      <c r="B316" s="67"/>
      <c r="C316" s="69" t="s">
        <v>25</v>
      </c>
      <c r="D316" s="55" t="s">
        <v>17</v>
      </c>
      <c r="E316" s="56">
        <v>0.62992800000000004</v>
      </c>
      <c r="F316" s="56">
        <v>56.851366588918005</v>
      </c>
      <c r="G316" s="56">
        <v>95.162699773820762</v>
      </c>
      <c r="H316" s="57">
        <v>17.675231764444533</v>
      </c>
      <c r="I316" s="60">
        <v>16053.5</v>
      </c>
    </row>
    <row r="317" spans="2:9" x14ac:dyDescent="0.15">
      <c r="B317" s="67"/>
      <c r="C317" s="69"/>
      <c r="D317" s="55" t="s">
        <v>19</v>
      </c>
      <c r="E317" s="56">
        <v>0.62991299999999995</v>
      </c>
      <c r="F317" s="56">
        <v>56.848826589070406</v>
      </c>
      <c r="G317" s="56">
        <v>95.162554836649974</v>
      </c>
      <c r="H317" s="57">
        <v>18.107301915130545</v>
      </c>
      <c r="I317" s="60">
        <v>74.5</v>
      </c>
    </row>
    <row r="318" spans="2:9" x14ac:dyDescent="0.15">
      <c r="B318" s="67"/>
      <c r="C318" s="69"/>
      <c r="D318" s="55" t="s">
        <v>21</v>
      </c>
      <c r="E318" s="56">
        <v>0.62991350000000002</v>
      </c>
      <c r="F318" s="56">
        <v>56.848716589077007</v>
      </c>
      <c r="G318" s="56">
        <v>95.162554853279474</v>
      </c>
      <c r="H318" s="57">
        <v>18.667267803181723</v>
      </c>
      <c r="I318" s="60">
        <v>0</v>
      </c>
    </row>
    <row r="319" spans="2:9" ht="14" thickBot="1" x14ac:dyDescent="0.2">
      <c r="B319" s="67"/>
      <c r="C319" s="69"/>
      <c r="D319" s="55" t="s">
        <v>23</v>
      </c>
      <c r="E319" s="56">
        <v>0.62991350000000002</v>
      </c>
      <c r="F319" s="56">
        <v>56.848716589077007</v>
      </c>
      <c r="G319" s="56">
        <v>95.162554853279474</v>
      </c>
      <c r="H319" s="57">
        <v>19.538338213181724</v>
      </c>
      <c r="I319" s="60">
        <v>0</v>
      </c>
    </row>
    <row r="320" spans="2:9" x14ac:dyDescent="0.15">
      <c r="B320" s="65" t="s">
        <v>65</v>
      </c>
      <c r="C320" s="66" t="s">
        <v>16</v>
      </c>
      <c r="D320" s="49" t="s">
        <v>17</v>
      </c>
      <c r="E320" s="50">
        <v>0.98304250000000004</v>
      </c>
      <c r="F320" s="50">
        <v>8.3540796658368137</v>
      </c>
      <c r="G320" s="50">
        <v>95.304458394037027</v>
      </c>
      <c r="H320" s="51">
        <v>4.4174323070760346</v>
      </c>
      <c r="I320" s="58">
        <v>18451.5</v>
      </c>
    </row>
    <row r="321" spans="2:9" x14ac:dyDescent="0.15">
      <c r="B321" s="67"/>
      <c r="C321" s="68"/>
      <c r="D321" s="52" t="s">
        <v>19</v>
      </c>
      <c r="E321" s="53">
        <v>0.98370200000000008</v>
      </c>
      <c r="F321" s="53">
        <v>8.3540796658368137</v>
      </c>
      <c r="G321" s="53">
        <v>95.304458394037027</v>
      </c>
      <c r="H321" s="54">
        <v>4.6479281730695394</v>
      </c>
      <c r="I321" s="59">
        <v>556.5</v>
      </c>
    </row>
    <row r="322" spans="2:9" x14ac:dyDescent="0.15">
      <c r="B322" s="67"/>
      <c r="C322" s="68"/>
      <c r="D322" s="52" t="s">
        <v>21</v>
      </c>
      <c r="E322" s="53">
        <v>0.98373400000000011</v>
      </c>
      <c r="F322" s="53">
        <v>8.3540796658368137</v>
      </c>
      <c r="G322" s="53">
        <v>95.304458394037027</v>
      </c>
      <c r="H322" s="54">
        <v>4.9543071753220733</v>
      </c>
      <c r="I322" s="59">
        <v>0</v>
      </c>
    </row>
    <row r="323" spans="2:9" x14ac:dyDescent="0.15">
      <c r="B323" s="67"/>
      <c r="C323" s="68"/>
      <c r="D323" s="52" t="s">
        <v>23</v>
      </c>
      <c r="E323" s="53">
        <v>0.98373400000000011</v>
      </c>
      <c r="F323" s="53">
        <v>8.3540796658368137</v>
      </c>
      <c r="G323" s="53">
        <v>95.304458394037027</v>
      </c>
      <c r="H323" s="54">
        <v>5.4313476553220736</v>
      </c>
      <c r="I323" s="59">
        <v>0</v>
      </c>
    </row>
    <row r="324" spans="2:9" x14ac:dyDescent="0.15">
      <c r="B324" s="67"/>
      <c r="C324" s="69" t="s">
        <v>25</v>
      </c>
      <c r="D324" s="55" t="s">
        <v>17</v>
      </c>
      <c r="E324" s="56">
        <v>0.983738</v>
      </c>
      <c r="F324" s="56">
        <v>8.3633296654668143</v>
      </c>
      <c r="G324" s="56">
        <v>95.306423166113291</v>
      </c>
      <c r="H324" s="57">
        <v>4.4213143276898972</v>
      </c>
      <c r="I324" s="60">
        <v>30278.5</v>
      </c>
    </row>
    <row r="325" spans="2:9" x14ac:dyDescent="0.15">
      <c r="B325" s="67"/>
      <c r="C325" s="69"/>
      <c r="D325" s="55" t="s">
        <v>19</v>
      </c>
      <c r="E325" s="56">
        <v>0.98373400000000011</v>
      </c>
      <c r="F325" s="56">
        <v>8.3541196658352135</v>
      </c>
      <c r="G325" s="56">
        <v>95.304458213957645</v>
      </c>
      <c r="H325" s="57">
        <v>4.6476453753220737</v>
      </c>
      <c r="I325" s="60">
        <v>4.5</v>
      </c>
    </row>
    <row r="326" spans="2:9" x14ac:dyDescent="0.15">
      <c r="B326" s="67"/>
      <c r="C326" s="69"/>
      <c r="D326" s="55" t="s">
        <v>21</v>
      </c>
      <c r="E326" s="56">
        <v>0.98373400000000011</v>
      </c>
      <c r="F326" s="56">
        <v>8.3540796658368137</v>
      </c>
      <c r="G326" s="56">
        <v>95.304458394037027</v>
      </c>
      <c r="H326" s="57">
        <v>4.9543071753220733</v>
      </c>
      <c r="I326" s="60">
        <v>0</v>
      </c>
    </row>
    <row r="327" spans="2:9" ht="14" thickBot="1" x14ac:dyDescent="0.2">
      <c r="B327" s="67"/>
      <c r="C327" s="69"/>
      <c r="D327" s="55" t="s">
        <v>23</v>
      </c>
      <c r="E327" s="56">
        <v>0.98373400000000011</v>
      </c>
      <c r="F327" s="56">
        <v>8.3540796658368137</v>
      </c>
      <c r="G327" s="56">
        <v>95.304458394037027</v>
      </c>
      <c r="H327" s="57">
        <v>5.4313476553220736</v>
      </c>
      <c r="I327" s="60">
        <v>0</v>
      </c>
    </row>
    <row r="328" spans="2:9" x14ac:dyDescent="0.15">
      <c r="B328" s="65" t="s">
        <v>66</v>
      </c>
      <c r="C328" s="66" t="s">
        <v>16</v>
      </c>
      <c r="D328" s="49" t="s">
        <v>17</v>
      </c>
      <c r="E328" s="50">
        <v>0.91050399999999998</v>
      </c>
      <c r="F328" s="50">
        <v>18.815859623682808</v>
      </c>
      <c r="G328" s="50">
        <v>95.264984841028166</v>
      </c>
      <c r="H328" s="51">
        <v>7.7666654767020686</v>
      </c>
      <c r="I328" s="58">
        <v>3672.5</v>
      </c>
    </row>
    <row r="329" spans="2:9" x14ac:dyDescent="0.15">
      <c r="B329" s="67"/>
      <c r="C329" s="68"/>
      <c r="D329" s="52" t="s">
        <v>19</v>
      </c>
      <c r="E329" s="53">
        <v>0.91061900000000007</v>
      </c>
      <c r="F329" s="53">
        <v>18.815859623682808</v>
      </c>
      <c r="G329" s="53">
        <v>95.264984841028166</v>
      </c>
      <c r="H329" s="54">
        <v>8.0601619660760253</v>
      </c>
      <c r="I329" s="59">
        <v>85</v>
      </c>
    </row>
    <row r="330" spans="2:9" x14ac:dyDescent="0.15">
      <c r="B330" s="67"/>
      <c r="C330" s="68"/>
      <c r="D330" s="52" t="s">
        <v>21</v>
      </c>
      <c r="E330" s="53">
        <v>0.91062200000000004</v>
      </c>
      <c r="F330" s="53">
        <v>18.815859623682808</v>
      </c>
      <c r="G330" s="53">
        <v>95.264984841028166</v>
      </c>
      <c r="H330" s="54">
        <v>8.4395410332987559</v>
      </c>
      <c r="I330" s="59">
        <v>0</v>
      </c>
    </row>
    <row r="331" spans="2:9" x14ac:dyDescent="0.15">
      <c r="B331" s="67"/>
      <c r="C331" s="68"/>
      <c r="D331" s="52" t="s">
        <v>23</v>
      </c>
      <c r="E331" s="53">
        <v>0.91062200000000004</v>
      </c>
      <c r="F331" s="53">
        <v>18.815859623682808</v>
      </c>
      <c r="G331" s="53">
        <v>95.264984841028166</v>
      </c>
      <c r="H331" s="54">
        <v>9.0297551332987567</v>
      </c>
      <c r="I331" s="59">
        <v>0</v>
      </c>
    </row>
    <row r="332" spans="2:9" x14ac:dyDescent="0.15">
      <c r="B332" s="67"/>
      <c r="C332" s="69" t="s">
        <v>25</v>
      </c>
      <c r="D332" s="55" t="s">
        <v>17</v>
      </c>
      <c r="E332" s="56">
        <v>0.91044800000000004</v>
      </c>
      <c r="F332" s="56">
        <v>18.81773962364521</v>
      </c>
      <c r="G332" s="56">
        <v>95.265031710742136</v>
      </c>
      <c r="H332" s="57">
        <v>7.7651382300154435</v>
      </c>
      <c r="I332" s="60">
        <v>10428</v>
      </c>
    </row>
    <row r="333" spans="2:9" x14ac:dyDescent="0.15">
      <c r="B333" s="67"/>
      <c r="C333" s="69"/>
      <c r="D333" s="55" t="s">
        <v>19</v>
      </c>
      <c r="E333" s="56">
        <v>0.91065649999999998</v>
      </c>
      <c r="F333" s="56">
        <v>18.815979623680406</v>
      </c>
      <c r="G333" s="56">
        <v>95.264986407609271</v>
      </c>
      <c r="H333" s="57">
        <v>8.0601675302787967</v>
      </c>
      <c r="I333" s="60">
        <v>28.5</v>
      </c>
    </row>
    <row r="334" spans="2:9" x14ac:dyDescent="0.15">
      <c r="B334" s="67"/>
      <c r="C334" s="69"/>
      <c r="D334" s="55" t="s">
        <v>21</v>
      </c>
      <c r="E334" s="56">
        <v>0.91062200000000004</v>
      </c>
      <c r="F334" s="56">
        <v>18.815859623682808</v>
      </c>
      <c r="G334" s="56">
        <v>95.264984841028166</v>
      </c>
      <c r="H334" s="57">
        <v>8.4395410332987559</v>
      </c>
      <c r="I334" s="60">
        <v>0</v>
      </c>
    </row>
    <row r="335" spans="2:9" ht="14" thickBot="1" x14ac:dyDescent="0.2">
      <c r="B335" s="67"/>
      <c r="C335" s="69"/>
      <c r="D335" s="55" t="s">
        <v>23</v>
      </c>
      <c r="E335" s="56">
        <v>0.91062200000000004</v>
      </c>
      <c r="F335" s="56">
        <v>18.815859623682808</v>
      </c>
      <c r="G335" s="56">
        <v>95.264984841028166</v>
      </c>
      <c r="H335" s="57">
        <v>9.0297551332987567</v>
      </c>
      <c r="I335" s="60">
        <v>0</v>
      </c>
    </row>
    <row r="336" spans="2:9" x14ac:dyDescent="0.15">
      <c r="B336" s="65" t="s">
        <v>67</v>
      </c>
      <c r="C336" s="66" t="s">
        <v>16</v>
      </c>
      <c r="D336" s="49" t="s">
        <v>17</v>
      </c>
      <c r="E336" s="50">
        <v>0.91294649999999999</v>
      </c>
      <c r="F336" s="50">
        <v>18.613419627731609</v>
      </c>
      <c r="G336" s="50">
        <v>95.264687726754858</v>
      </c>
      <c r="H336" s="51">
        <v>7.7407958479487222</v>
      </c>
      <c r="I336" s="58">
        <v>1660.5</v>
      </c>
    </row>
    <row r="337" spans="2:9" x14ac:dyDescent="0.15">
      <c r="B337" s="67"/>
      <c r="C337" s="68"/>
      <c r="D337" s="52" t="s">
        <v>19</v>
      </c>
      <c r="E337" s="53">
        <v>0.91299700000000006</v>
      </c>
      <c r="F337" s="53">
        <v>18.613419627731609</v>
      </c>
      <c r="G337" s="53">
        <v>95.264687726754858</v>
      </c>
      <c r="H337" s="54">
        <v>8.0365419548926518</v>
      </c>
      <c r="I337" s="59">
        <v>63</v>
      </c>
    </row>
    <row r="338" spans="2:9" x14ac:dyDescent="0.15">
      <c r="B338" s="67"/>
      <c r="C338" s="68"/>
      <c r="D338" s="52" t="s">
        <v>21</v>
      </c>
      <c r="E338" s="53">
        <v>0.91299799999999998</v>
      </c>
      <c r="F338" s="53">
        <v>18.613419627731609</v>
      </c>
      <c r="G338" s="53">
        <v>95.264687726754858</v>
      </c>
      <c r="H338" s="54">
        <v>8.4176739725089043</v>
      </c>
      <c r="I338" s="59">
        <v>0</v>
      </c>
    </row>
    <row r="339" spans="2:9" x14ac:dyDescent="0.15">
      <c r="B339" s="67"/>
      <c r="C339" s="68"/>
      <c r="D339" s="52" t="s">
        <v>23</v>
      </c>
      <c r="E339" s="53">
        <v>0.91299799999999998</v>
      </c>
      <c r="F339" s="53">
        <v>18.613419627731609</v>
      </c>
      <c r="G339" s="53">
        <v>95.264687726754858</v>
      </c>
      <c r="H339" s="54">
        <v>9.0105970025089057</v>
      </c>
      <c r="I339" s="59">
        <v>0</v>
      </c>
    </row>
    <row r="340" spans="2:9" x14ac:dyDescent="0.15">
      <c r="B340" s="67"/>
      <c r="C340" s="69" t="s">
        <v>25</v>
      </c>
      <c r="D340" s="55" t="s">
        <v>17</v>
      </c>
      <c r="E340" s="56">
        <v>0.91274999999999995</v>
      </c>
      <c r="F340" s="56">
        <v>18.620849627583006</v>
      </c>
      <c r="G340" s="56">
        <v>95.264844425808462</v>
      </c>
      <c r="H340" s="57">
        <v>7.7433046788822883</v>
      </c>
      <c r="I340" s="60">
        <v>10140.5</v>
      </c>
    </row>
    <row r="341" spans="2:9" x14ac:dyDescent="0.15">
      <c r="B341" s="67"/>
      <c r="C341" s="69"/>
      <c r="D341" s="55" t="s">
        <v>19</v>
      </c>
      <c r="E341" s="56">
        <v>0.91295149999999992</v>
      </c>
      <c r="F341" s="56">
        <v>18.614769627704607</v>
      </c>
      <c r="G341" s="56">
        <v>95.264691741076589</v>
      </c>
      <c r="H341" s="57">
        <v>8.0369671277011285</v>
      </c>
      <c r="I341" s="60">
        <v>548.5</v>
      </c>
    </row>
    <row r="342" spans="2:9" x14ac:dyDescent="0.15">
      <c r="B342" s="67"/>
      <c r="C342" s="69"/>
      <c r="D342" s="55" t="s">
        <v>21</v>
      </c>
      <c r="E342" s="56">
        <v>0.91299799999999998</v>
      </c>
      <c r="F342" s="56">
        <v>18.613419627731609</v>
      </c>
      <c r="G342" s="56">
        <v>95.264687726754858</v>
      </c>
      <c r="H342" s="57">
        <v>8.4176739725089043</v>
      </c>
      <c r="I342" s="60">
        <v>0</v>
      </c>
    </row>
    <row r="343" spans="2:9" ht="14" thickBot="1" x14ac:dyDescent="0.2">
      <c r="B343" s="67"/>
      <c r="C343" s="69"/>
      <c r="D343" s="55" t="s">
        <v>23</v>
      </c>
      <c r="E343" s="56">
        <v>0.91299799999999998</v>
      </c>
      <c r="F343" s="56">
        <v>18.613419627731609</v>
      </c>
      <c r="G343" s="56">
        <v>95.264687726754858</v>
      </c>
      <c r="H343" s="57">
        <v>9.0105970025089057</v>
      </c>
      <c r="I343" s="60">
        <v>0</v>
      </c>
    </row>
    <row r="344" spans="2:9" x14ac:dyDescent="0.15">
      <c r="B344" s="65" t="s">
        <v>68</v>
      </c>
      <c r="C344" s="66" t="s">
        <v>16</v>
      </c>
      <c r="D344" s="49" t="s">
        <v>17</v>
      </c>
      <c r="E344" s="50">
        <v>0.92815850000000011</v>
      </c>
      <c r="F344" s="50">
        <v>14.100449416383029</v>
      </c>
      <c r="G344" s="50">
        <v>95.293155451379704</v>
      </c>
      <c r="H344" s="51">
        <v>6.2105716380547795</v>
      </c>
      <c r="I344" s="58">
        <v>9797.5</v>
      </c>
    </row>
    <row r="345" spans="2:9" x14ac:dyDescent="0.15">
      <c r="B345" s="67"/>
      <c r="C345" s="68"/>
      <c r="D345" s="52" t="s">
        <v>19</v>
      </c>
      <c r="E345" s="53">
        <v>0.92845949999999999</v>
      </c>
      <c r="F345" s="53">
        <v>14.100449416383029</v>
      </c>
      <c r="G345" s="53">
        <v>95.293155451379704</v>
      </c>
      <c r="H345" s="54">
        <v>6.4450562676682548</v>
      </c>
      <c r="I345" s="59">
        <v>540.5</v>
      </c>
    </row>
    <row r="346" spans="2:9" x14ac:dyDescent="0.15">
      <c r="B346" s="67"/>
      <c r="C346" s="68"/>
      <c r="D346" s="52" t="s">
        <v>21</v>
      </c>
      <c r="E346" s="53">
        <v>0.92848599999999992</v>
      </c>
      <c r="F346" s="53">
        <v>14.100449416383029</v>
      </c>
      <c r="G346" s="53">
        <v>95.293155451379704</v>
      </c>
      <c r="H346" s="54">
        <v>6.7515690633829504</v>
      </c>
      <c r="I346" s="59">
        <v>0</v>
      </c>
    </row>
    <row r="347" spans="2:9" x14ac:dyDescent="0.15">
      <c r="B347" s="67"/>
      <c r="C347" s="68"/>
      <c r="D347" s="52" t="s">
        <v>23</v>
      </c>
      <c r="E347" s="53">
        <v>0.92848599999999992</v>
      </c>
      <c r="F347" s="53">
        <v>14.100449416383029</v>
      </c>
      <c r="G347" s="53">
        <v>95.293155451379704</v>
      </c>
      <c r="H347" s="54">
        <v>7.2288047033829521</v>
      </c>
      <c r="I347" s="59">
        <v>0</v>
      </c>
    </row>
    <row r="348" spans="2:9" x14ac:dyDescent="0.15">
      <c r="B348" s="67"/>
      <c r="C348" s="69" t="s">
        <v>25</v>
      </c>
      <c r="D348" s="55" t="s">
        <v>17</v>
      </c>
      <c r="E348" s="56">
        <v>0.92844149999999992</v>
      </c>
      <c r="F348" s="56">
        <v>14.10957941606523</v>
      </c>
      <c r="G348" s="56">
        <v>95.293830835819847</v>
      </c>
      <c r="H348" s="57">
        <v>6.21353900981451</v>
      </c>
      <c r="I348" s="60">
        <v>21283.5</v>
      </c>
    </row>
    <row r="349" spans="2:9" x14ac:dyDescent="0.15">
      <c r="B349" s="67"/>
      <c r="C349" s="69"/>
      <c r="D349" s="55" t="s">
        <v>19</v>
      </c>
      <c r="E349" s="56">
        <v>0.92849550000000003</v>
      </c>
      <c r="F349" s="56">
        <v>14.100499416382029</v>
      </c>
      <c r="G349" s="56">
        <v>95.293368578311089</v>
      </c>
      <c r="H349" s="57">
        <v>6.4464275509070497</v>
      </c>
      <c r="I349" s="60">
        <v>4277</v>
      </c>
    </row>
    <row r="350" spans="2:9" x14ac:dyDescent="0.15">
      <c r="B350" s="67"/>
      <c r="C350" s="69"/>
      <c r="D350" s="55" t="s">
        <v>21</v>
      </c>
      <c r="E350" s="56">
        <v>0.92848599999999992</v>
      </c>
      <c r="F350" s="56">
        <v>14.100449416383029</v>
      </c>
      <c r="G350" s="56">
        <v>95.293155451379704</v>
      </c>
      <c r="H350" s="57">
        <v>6.7515690633829504</v>
      </c>
      <c r="I350" s="60">
        <v>0</v>
      </c>
    </row>
    <row r="351" spans="2:9" ht="14" thickBot="1" x14ac:dyDescent="0.2">
      <c r="B351" s="70"/>
      <c r="C351" s="71"/>
      <c r="D351" s="61" t="s">
        <v>23</v>
      </c>
      <c r="E351" s="62">
        <v>0.92848599999999992</v>
      </c>
      <c r="F351" s="62">
        <v>14.100449416383029</v>
      </c>
      <c r="G351" s="62">
        <v>95.293155451379704</v>
      </c>
      <c r="H351" s="63">
        <v>7.2288047033829521</v>
      </c>
      <c r="I351" s="64">
        <v>0</v>
      </c>
    </row>
  </sheetData>
  <mergeCells count="174">
    <mergeCell ref="B344:B351"/>
    <mergeCell ref="C344:C347"/>
    <mergeCell ref="C348:C351"/>
    <mergeCell ref="B328:B335"/>
    <mergeCell ref="C328:C331"/>
    <mergeCell ref="C332:C335"/>
    <mergeCell ref="B336:B343"/>
    <mergeCell ref="C336:C339"/>
    <mergeCell ref="C340:C343"/>
    <mergeCell ref="B312:B319"/>
    <mergeCell ref="C312:C315"/>
    <mergeCell ref="C316:C319"/>
    <mergeCell ref="B320:B327"/>
    <mergeCell ref="C320:C323"/>
    <mergeCell ref="C324:C327"/>
    <mergeCell ref="B296:B303"/>
    <mergeCell ref="C296:C299"/>
    <mergeCell ref="C300:C303"/>
    <mergeCell ref="B304:B311"/>
    <mergeCell ref="C304:C307"/>
    <mergeCell ref="C308:C311"/>
    <mergeCell ref="B280:B287"/>
    <mergeCell ref="C280:C283"/>
    <mergeCell ref="C284:C287"/>
    <mergeCell ref="B288:B295"/>
    <mergeCell ref="C288:C291"/>
    <mergeCell ref="C292:C295"/>
    <mergeCell ref="B264:B271"/>
    <mergeCell ref="C264:C267"/>
    <mergeCell ref="C268:C271"/>
    <mergeCell ref="B272:B279"/>
    <mergeCell ref="C272:C275"/>
    <mergeCell ref="C276:C279"/>
    <mergeCell ref="B248:B255"/>
    <mergeCell ref="C248:C251"/>
    <mergeCell ref="C252:C255"/>
    <mergeCell ref="B256:B263"/>
    <mergeCell ref="C256:C259"/>
    <mergeCell ref="C260:C263"/>
    <mergeCell ref="B232:B239"/>
    <mergeCell ref="C232:C235"/>
    <mergeCell ref="C236:C239"/>
    <mergeCell ref="B240:B247"/>
    <mergeCell ref="C240:C243"/>
    <mergeCell ref="C244:C247"/>
    <mergeCell ref="B216:B223"/>
    <mergeCell ref="C216:C219"/>
    <mergeCell ref="C220:C223"/>
    <mergeCell ref="B224:B231"/>
    <mergeCell ref="C224:C227"/>
    <mergeCell ref="C228:C231"/>
    <mergeCell ref="B200:B207"/>
    <mergeCell ref="C200:C203"/>
    <mergeCell ref="C204:C207"/>
    <mergeCell ref="B208:B215"/>
    <mergeCell ref="C208:C211"/>
    <mergeCell ref="C212:C215"/>
    <mergeCell ref="B184:B191"/>
    <mergeCell ref="C184:C187"/>
    <mergeCell ref="C188:C191"/>
    <mergeCell ref="B192:B199"/>
    <mergeCell ref="C192:C195"/>
    <mergeCell ref="C196:C199"/>
    <mergeCell ref="B168:B175"/>
    <mergeCell ref="C168:C171"/>
    <mergeCell ref="C172:C175"/>
    <mergeCell ref="B176:B183"/>
    <mergeCell ref="C176:C179"/>
    <mergeCell ref="C180:C183"/>
    <mergeCell ref="B152:B159"/>
    <mergeCell ref="C152:C155"/>
    <mergeCell ref="C156:C159"/>
    <mergeCell ref="B160:B167"/>
    <mergeCell ref="C160:C163"/>
    <mergeCell ref="C164:C167"/>
    <mergeCell ref="B136:B143"/>
    <mergeCell ref="C136:C139"/>
    <mergeCell ref="C140:C143"/>
    <mergeCell ref="B144:B151"/>
    <mergeCell ref="C144:C147"/>
    <mergeCell ref="C148:C151"/>
    <mergeCell ref="B120:B127"/>
    <mergeCell ref="C120:C123"/>
    <mergeCell ref="C124:C127"/>
    <mergeCell ref="B128:B135"/>
    <mergeCell ref="C128:C131"/>
    <mergeCell ref="C132:C135"/>
    <mergeCell ref="B104:B111"/>
    <mergeCell ref="C104:C107"/>
    <mergeCell ref="C108:C111"/>
    <mergeCell ref="B112:B119"/>
    <mergeCell ref="C112:C115"/>
    <mergeCell ref="C116:C119"/>
    <mergeCell ref="B88:B95"/>
    <mergeCell ref="C88:C91"/>
    <mergeCell ref="C92:C95"/>
    <mergeCell ref="B96:B103"/>
    <mergeCell ref="C96:C99"/>
    <mergeCell ref="C100:C103"/>
    <mergeCell ref="B72:B79"/>
    <mergeCell ref="C72:C75"/>
    <mergeCell ref="C76:C79"/>
    <mergeCell ref="B80:B87"/>
    <mergeCell ref="C80:C83"/>
    <mergeCell ref="C84:C87"/>
    <mergeCell ref="B56:B63"/>
    <mergeCell ref="C56:C59"/>
    <mergeCell ref="C60:C63"/>
    <mergeCell ref="B64:B71"/>
    <mergeCell ref="C64:C67"/>
    <mergeCell ref="C68:C71"/>
    <mergeCell ref="B40:B47"/>
    <mergeCell ref="C40:C43"/>
    <mergeCell ref="C44:C47"/>
    <mergeCell ref="B48:B55"/>
    <mergeCell ref="C48:C51"/>
    <mergeCell ref="C52:C55"/>
    <mergeCell ref="B24:B31"/>
    <mergeCell ref="C24:C27"/>
    <mergeCell ref="C28:C31"/>
    <mergeCell ref="B32:B39"/>
    <mergeCell ref="C32:C35"/>
    <mergeCell ref="C36:C39"/>
    <mergeCell ref="O176:O179"/>
    <mergeCell ref="Q6:V6"/>
    <mergeCell ref="O156:O159"/>
    <mergeCell ref="O160:O163"/>
    <mergeCell ref="O164:O167"/>
    <mergeCell ref="O168:O171"/>
    <mergeCell ref="O172:O175"/>
    <mergeCell ref="O136:O139"/>
    <mergeCell ref="O140:O143"/>
    <mergeCell ref="O144:O147"/>
    <mergeCell ref="O148:O151"/>
    <mergeCell ref="O152:O155"/>
    <mergeCell ref="O116:O119"/>
    <mergeCell ref="O120:O123"/>
    <mergeCell ref="O124:O127"/>
    <mergeCell ref="O128:O131"/>
    <mergeCell ref="O84:O87"/>
    <mergeCell ref="O88:O91"/>
    <mergeCell ref="O92:O95"/>
    <mergeCell ref="O132:O135"/>
    <mergeCell ref="O96:O99"/>
    <mergeCell ref="O100:O103"/>
    <mergeCell ref="O104:O107"/>
    <mergeCell ref="O108:O111"/>
    <mergeCell ref="O112:O115"/>
    <mergeCell ref="O64:O67"/>
    <mergeCell ref="O68:O71"/>
    <mergeCell ref="O72:O75"/>
    <mergeCell ref="O76:O79"/>
    <mergeCell ref="O80:O83"/>
    <mergeCell ref="O44:O47"/>
    <mergeCell ref="O48:O51"/>
    <mergeCell ref="O52:O55"/>
    <mergeCell ref="O56:O59"/>
    <mergeCell ref="O60:O63"/>
    <mergeCell ref="O24:O27"/>
    <mergeCell ref="O28:O31"/>
    <mergeCell ref="O32:O35"/>
    <mergeCell ref="O36:O39"/>
    <mergeCell ref="O40:O43"/>
    <mergeCell ref="B16:B23"/>
    <mergeCell ref="C16:C19"/>
    <mergeCell ref="C20:C23"/>
    <mergeCell ref="B1:U1"/>
    <mergeCell ref="B8:B15"/>
    <mergeCell ref="C8:C11"/>
    <mergeCell ref="O8:O11"/>
    <mergeCell ref="C12:C15"/>
    <mergeCell ref="O12:O15"/>
    <mergeCell ref="O16:O19"/>
    <mergeCell ref="O20:O23"/>
  </mergeCell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AHMED, TALHA (Student)</cp:lastModifiedBy>
  <cp:revision>10</cp:revision>
  <dcterms:created xsi:type="dcterms:W3CDTF">2026-03-18T12:30:52Z</dcterms:created>
  <dcterms:modified xsi:type="dcterms:W3CDTF">2026-04-08T21:59:26Z</dcterms:modified>
  <dc:language>en-US</dc:language>
</cp:coreProperties>
</file>