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alhaahmed/Desktop/L3-Project/multi-retention-sttram-btb/"/>
    </mc:Choice>
  </mc:AlternateContent>
  <xr:revisionPtr revIDLastSave="0" documentId="13_ncr:1_{5FECD56D-5763-A745-B269-D36AF440E1C1}" xr6:coauthVersionLast="47" xr6:coauthVersionMax="47" xr10:uidLastSave="{00000000-0000-0000-0000-000000000000}"/>
  <bookViews>
    <workbookView xWindow="160" yWindow="660" windowWidth="38080" windowHeight="190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8" i="1"/>
  <c r="V9" i="1"/>
  <c r="V10" i="1"/>
  <c r="V11" i="1"/>
</calcChain>
</file>

<file path=xl/sharedStrings.xml><?xml version="1.0" encoding="utf-8"?>
<sst xmlns="http://schemas.openxmlformats.org/spreadsheetml/2006/main" count="253" uniqueCount="75">
  <si>
    <t>CONVENTIONAL BTB</t>
  </si>
  <si>
    <t>STTRAM_BTB</t>
  </si>
  <si>
    <t>SRAM_BTB</t>
  </si>
  <si>
    <t>#Blocks</t>
  </si>
  <si>
    <t>Hit Count Buckets</t>
  </si>
  <si>
    <t>Benchmarks</t>
  </si>
  <si>
    <t>Expiry_decision</t>
  </si>
  <si>
    <t>RT</t>
  </si>
  <si>
    <t>IPC</t>
  </si>
  <si>
    <t>MPKI</t>
  </si>
  <si>
    <t>Pred_Accuracy (%)</t>
  </si>
  <si>
    <t>Energy</t>
  </si>
  <si>
    <t>Refresh/WB Counts</t>
  </si>
  <si>
    <t>Wr Latency</t>
  </si>
  <si>
    <t>Clock Cycles</t>
  </si>
  <si>
    <t>Lifetime</t>
  </si>
  <si>
    <t>1 hit</t>
  </si>
  <si>
    <t>2 hits</t>
  </si>
  <si>
    <t>4 hits</t>
  </si>
  <si>
    <t>Client001</t>
  </si>
  <si>
    <t>Refresh</t>
  </si>
  <si>
    <t>1ms</t>
  </si>
  <si>
    <t>&lt;= 1ms</t>
  </si>
  <si>
    <t>10ms</t>
  </si>
  <si>
    <t>&gt; 1ms &amp; &lt;=10ms</t>
  </si>
  <si>
    <t>100ms</t>
  </si>
  <si>
    <t>&gt; 10ms &amp; &lt;= 100ms</t>
  </si>
  <si>
    <t>1s</t>
  </si>
  <si>
    <t xml:space="preserve">&gt; 100ms </t>
  </si>
  <si>
    <t>WriteBack</t>
  </si>
  <si>
    <t>Total hits</t>
  </si>
  <si>
    <t>Client002</t>
  </si>
  <si>
    <t>Client003</t>
  </si>
  <si>
    <t>Client004</t>
  </si>
  <si>
    <t>Client005</t>
  </si>
  <si>
    <t>Client006</t>
  </si>
  <si>
    <t>Client007</t>
  </si>
  <si>
    <t>Client008</t>
  </si>
  <si>
    <t>Server001</t>
  </si>
  <si>
    <t>Server002</t>
  </si>
  <si>
    <t>Server003</t>
  </si>
  <si>
    <t>Server004</t>
  </si>
  <si>
    <t>Server009</t>
  </si>
  <si>
    <t>Server010</t>
  </si>
  <si>
    <t>Server011</t>
  </si>
  <si>
    <t>Server012</t>
  </si>
  <si>
    <t>Server013</t>
  </si>
  <si>
    <t>Server014</t>
  </si>
  <si>
    <t>Server015</t>
  </si>
  <si>
    <t>Server016</t>
  </si>
  <si>
    <t>Server017</t>
  </si>
  <si>
    <t>Server018</t>
  </si>
  <si>
    <t>Server019</t>
  </si>
  <si>
    <t>Server020</t>
  </si>
  <si>
    <t>Server021</t>
  </si>
  <si>
    <t>Server022</t>
  </si>
  <si>
    <t>Server023</t>
  </si>
  <si>
    <t>Server024</t>
  </si>
  <si>
    <t>Server025</t>
  </si>
  <si>
    <t>Server026</t>
  </si>
  <si>
    <t>Server027</t>
  </si>
  <si>
    <t>Server028</t>
  </si>
  <si>
    <t>Server029</t>
  </si>
  <si>
    <t>Server030</t>
  </si>
  <si>
    <t>Server031</t>
  </si>
  <si>
    <t>Server032</t>
  </si>
  <si>
    <t>Server033</t>
  </si>
  <si>
    <t>Server034</t>
  </si>
  <si>
    <t>Server035</t>
  </si>
  <si>
    <t>Server036</t>
  </si>
  <si>
    <t>Server037</t>
  </si>
  <si>
    <t>Server038</t>
  </si>
  <si>
    <t>Server039</t>
  </si>
  <si>
    <t>5+ hits</t>
  </si>
  <si>
    <t>3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</si>
</sst>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D4EA6B"/>
        <bgColor rgb="FFFFFF38"/>
      </patternFill>
    </fill>
    <fill>
      <patternFill patternType="solid">
        <fgColor rgb="FFE0C2CD"/>
        <bgColor rgb="FFDDDDDD"/>
      </patternFill>
    </fill>
    <fill>
      <patternFill patternType="solid">
        <fgColor rgb="FFFFFFD7"/>
        <bgColor rgb="FFFFFFFF"/>
      </patternFill>
    </fill>
    <fill>
      <patternFill patternType="solid">
        <fgColor rgb="FFDDDDDD"/>
        <bgColor rgb="FFE0C2CD"/>
      </patternFill>
    </fill>
    <fill>
      <patternFill patternType="solid">
        <fgColor rgb="FFB4C7DC"/>
        <bgColor rgb="FF99CCF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1" fontId="0" fillId="6" borderId="1" xfId="0" applyNumberFormat="1" applyFill="1" applyBorder="1"/>
    <xf numFmtId="1" fontId="0" fillId="6" borderId="2" xfId="0" applyNumberFormat="1" applyFill="1" applyBorder="1"/>
    <xf numFmtId="0" fontId="2" fillId="7" borderId="2" xfId="0" applyFont="1" applyFill="1" applyBorder="1"/>
    <xf numFmtId="0" fontId="2" fillId="7" borderId="5" xfId="0" applyFont="1" applyFill="1" applyBorder="1"/>
    <xf numFmtId="1" fontId="0" fillId="6" borderId="5" xfId="0" applyNumberFormat="1" applyFill="1" applyBorder="1"/>
    <xf numFmtId="0" fontId="2" fillId="7" borderId="7" xfId="0" applyFont="1" applyFill="1" applyBorder="1"/>
    <xf numFmtId="1" fontId="0" fillId="6" borderId="7" xfId="0" applyNumberFormat="1" applyFill="1" applyBorder="1"/>
    <xf numFmtId="0" fontId="2" fillId="4" borderId="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9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center" vertical="center"/>
    </xf>
    <xf numFmtId="1" fontId="0" fillId="6" borderId="12" xfId="0" applyNumberFormat="1" applyFill="1" applyBorder="1"/>
    <xf numFmtId="0" fontId="2" fillId="0" borderId="13" xfId="0" applyFont="1" applyBorder="1" applyAlignment="1">
      <alignment horizontal="center" vertical="center"/>
    </xf>
    <xf numFmtId="1" fontId="0" fillId="6" borderId="14" xfId="0" applyNumberFormat="1" applyFill="1" applyBorder="1"/>
    <xf numFmtId="0" fontId="2" fillId="0" borderId="15" xfId="0" applyFont="1" applyBorder="1" applyAlignment="1">
      <alignment horizontal="center" vertical="center"/>
    </xf>
    <xf numFmtId="1" fontId="0" fillId="6" borderId="16" xfId="0" applyNumberFormat="1" applyFill="1" applyBorder="1"/>
    <xf numFmtId="0" fontId="2" fillId="0" borderId="17" xfId="0" applyFont="1" applyBorder="1" applyAlignment="1">
      <alignment horizontal="center" vertical="center"/>
    </xf>
    <xf numFmtId="1" fontId="0" fillId="6" borderId="18" xfId="0" applyNumberFormat="1" applyFill="1" applyBorder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E0C2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D1B239-82BB-784F-A112-0E9FE35EDE0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7fed454-84c1-4499-a912-b88e7b3461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79"/>
  <sheetViews>
    <sheetView tabSelected="1" topLeftCell="I1" zoomScale="139" zoomScaleNormal="139" workbookViewId="0">
      <selection activeCell="M26" sqref="M26"/>
    </sheetView>
  </sheetViews>
  <sheetFormatPr baseColWidth="10" defaultColWidth="11.5" defaultRowHeight="13" x14ac:dyDescent="0.15"/>
  <cols>
    <col min="1" max="1" width="12" customWidth="1"/>
    <col min="2" max="2" width="15.1640625" customWidth="1"/>
    <col min="3" max="3" width="16.5" customWidth="1"/>
    <col min="7" max="8" width="19.1640625" customWidth="1"/>
    <col min="9" max="9" width="19.33203125" customWidth="1"/>
    <col min="15" max="15" width="11.5" bestFit="1" customWidth="1"/>
    <col min="16" max="16" width="17.5" bestFit="1" customWidth="1"/>
    <col min="17" max="22" width="9.1640625" customWidth="1"/>
  </cols>
  <sheetData>
    <row r="1" spans="2:22" ht="25" x14ac:dyDescent="0.2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5" spans="2:22" x14ac:dyDescent="0.15">
      <c r="B5" s="5" t="s">
        <v>1</v>
      </c>
      <c r="O5" s="5" t="s">
        <v>2</v>
      </c>
    </row>
    <row r="6" spans="2:22" ht="14" thickBot="1" x14ac:dyDescent="0.2">
      <c r="O6" s="6" t="s">
        <v>3</v>
      </c>
      <c r="Q6" s="21" t="s">
        <v>4</v>
      </c>
      <c r="R6" s="22"/>
      <c r="S6" s="22"/>
      <c r="T6" s="22"/>
      <c r="U6" s="22"/>
      <c r="V6" s="23"/>
    </row>
    <row r="7" spans="2:22" ht="14" thickBot="1" x14ac:dyDescent="0.2"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K7" s="8" t="s">
        <v>13</v>
      </c>
      <c r="L7" s="8" t="s">
        <v>14</v>
      </c>
      <c r="O7" s="24" t="s">
        <v>5</v>
      </c>
      <c r="P7" s="25" t="s">
        <v>15</v>
      </c>
      <c r="Q7" s="25" t="s">
        <v>16</v>
      </c>
      <c r="R7" s="25" t="s">
        <v>17</v>
      </c>
      <c r="S7" s="25" t="s">
        <v>74</v>
      </c>
      <c r="T7" s="25" t="s">
        <v>18</v>
      </c>
      <c r="U7" s="25" t="s">
        <v>73</v>
      </c>
      <c r="V7" s="26" t="s">
        <v>30</v>
      </c>
    </row>
    <row r="8" spans="2:22" x14ac:dyDescent="0.15">
      <c r="B8" s="3" t="s">
        <v>19</v>
      </c>
      <c r="C8" s="2" t="s">
        <v>20</v>
      </c>
      <c r="D8" s="9" t="s">
        <v>21</v>
      </c>
      <c r="E8" s="10"/>
      <c r="F8" s="10"/>
      <c r="G8" s="10"/>
      <c r="H8" s="10"/>
      <c r="I8" s="10"/>
      <c r="K8" s="9" t="s">
        <v>21</v>
      </c>
      <c r="L8" s="10">
        <v>2</v>
      </c>
      <c r="O8" s="27" t="s">
        <v>19</v>
      </c>
      <c r="P8" s="16" t="s">
        <v>22</v>
      </c>
      <c r="Q8" s="15">
        <v>38778</v>
      </c>
      <c r="R8" s="15">
        <v>51</v>
      </c>
      <c r="S8" s="15">
        <v>11</v>
      </c>
      <c r="T8" s="15">
        <v>7</v>
      </c>
      <c r="U8" s="15">
        <v>16</v>
      </c>
      <c r="V8" s="28">
        <f>SUM(Q8:U8)</f>
        <v>38863</v>
      </c>
    </row>
    <row r="9" spans="2:22" x14ac:dyDescent="0.15">
      <c r="B9" s="3"/>
      <c r="C9" s="2"/>
      <c r="D9" s="9" t="s">
        <v>23</v>
      </c>
      <c r="E9" s="10"/>
      <c r="F9" s="10"/>
      <c r="G9" s="10"/>
      <c r="H9" s="10"/>
      <c r="I9" s="10"/>
      <c r="K9" s="9" t="s">
        <v>23</v>
      </c>
      <c r="L9" s="10">
        <v>3</v>
      </c>
      <c r="O9" s="29"/>
      <c r="P9" s="11" t="s">
        <v>24</v>
      </c>
      <c r="Q9" s="14">
        <v>3909</v>
      </c>
      <c r="R9" s="14">
        <v>25</v>
      </c>
      <c r="S9" s="14">
        <v>8</v>
      </c>
      <c r="T9" s="14">
        <v>3</v>
      </c>
      <c r="U9" s="14">
        <v>7</v>
      </c>
      <c r="V9" s="30">
        <f>SUM(Q9:U9)</f>
        <v>3952</v>
      </c>
    </row>
    <row r="10" spans="2:22" x14ac:dyDescent="0.15">
      <c r="B10" s="3"/>
      <c r="C10" s="2"/>
      <c r="D10" s="9" t="s">
        <v>25</v>
      </c>
      <c r="E10" s="10"/>
      <c r="F10" s="10"/>
      <c r="G10" s="10"/>
      <c r="H10" s="10"/>
      <c r="I10" s="10"/>
      <c r="K10" s="9" t="s">
        <v>25</v>
      </c>
      <c r="L10" s="10">
        <v>4</v>
      </c>
      <c r="O10" s="29"/>
      <c r="P10" s="11" t="s">
        <v>26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30">
        <f>SUM(Q10:U10)</f>
        <v>0</v>
      </c>
    </row>
    <row r="11" spans="2:22" ht="14" thickBot="1" x14ac:dyDescent="0.2">
      <c r="B11" s="3"/>
      <c r="C11" s="2"/>
      <c r="D11" s="9" t="s">
        <v>27</v>
      </c>
      <c r="E11" s="10"/>
      <c r="F11" s="10"/>
      <c r="G11" s="10"/>
      <c r="H11" s="10"/>
      <c r="I11" s="10"/>
      <c r="K11" s="9" t="s">
        <v>27</v>
      </c>
      <c r="L11" s="10">
        <v>5</v>
      </c>
      <c r="O11" s="31"/>
      <c r="P11" s="17" t="s">
        <v>28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32">
        <f>SUM(Q11:U11)</f>
        <v>0</v>
      </c>
    </row>
    <row r="12" spans="2:22" x14ac:dyDescent="0.15">
      <c r="B12" s="3"/>
      <c r="C12" s="1" t="s">
        <v>29</v>
      </c>
      <c r="D12" s="12" t="s">
        <v>21</v>
      </c>
      <c r="E12" s="13"/>
      <c r="F12" s="13"/>
      <c r="G12" s="13"/>
      <c r="H12" s="13"/>
      <c r="I12" s="13"/>
      <c r="O12" s="33" t="s">
        <v>31</v>
      </c>
      <c r="P12" s="19" t="s">
        <v>22</v>
      </c>
      <c r="Q12" s="20">
        <v>443082</v>
      </c>
      <c r="R12" s="20">
        <v>1496</v>
      </c>
      <c r="S12" s="20">
        <v>334</v>
      </c>
      <c r="T12" s="20">
        <v>152</v>
      </c>
      <c r="U12" s="20">
        <v>144</v>
      </c>
      <c r="V12" s="34">
        <f>SUM(Q12:U12)</f>
        <v>445208</v>
      </c>
    </row>
    <row r="13" spans="2:22" x14ac:dyDescent="0.15">
      <c r="B13" s="3"/>
      <c r="C13" s="1"/>
      <c r="D13" s="12" t="s">
        <v>23</v>
      </c>
      <c r="E13" s="13"/>
      <c r="F13" s="13"/>
      <c r="G13" s="13"/>
      <c r="H13" s="13"/>
      <c r="I13" s="13"/>
      <c r="O13" s="35"/>
      <c r="P13" s="11" t="s">
        <v>24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30">
        <f>SUM(Q13:U13)</f>
        <v>0</v>
      </c>
    </row>
    <row r="14" spans="2:22" x14ac:dyDescent="0.15">
      <c r="B14" s="3"/>
      <c r="C14" s="1"/>
      <c r="D14" s="12" t="s">
        <v>25</v>
      </c>
      <c r="E14" s="13"/>
      <c r="F14" s="13"/>
      <c r="G14" s="13"/>
      <c r="H14" s="13"/>
      <c r="I14" s="13"/>
      <c r="O14" s="35"/>
      <c r="P14" s="11" t="s">
        <v>26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30">
        <f>SUM(Q14:U14)</f>
        <v>0</v>
      </c>
    </row>
    <row r="15" spans="2:22" ht="14" thickBot="1" x14ac:dyDescent="0.2">
      <c r="B15" s="3"/>
      <c r="C15" s="1"/>
      <c r="D15" s="12" t="s">
        <v>27</v>
      </c>
      <c r="E15" s="13"/>
      <c r="F15" s="13"/>
      <c r="G15" s="13"/>
      <c r="H15" s="13"/>
      <c r="I15" s="13"/>
      <c r="O15" s="36"/>
      <c r="P15" s="17" t="s">
        <v>28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32">
        <f>SUM(Q15:U15)</f>
        <v>0</v>
      </c>
    </row>
    <row r="16" spans="2:22" x14ac:dyDescent="0.15">
      <c r="O16" s="33" t="s">
        <v>32</v>
      </c>
      <c r="P16" s="19" t="s">
        <v>22</v>
      </c>
      <c r="Q16" s="20">
        <v>476509</v>
      </c>
      <c r="R16" s="20">
        <v>1134</v>
      </c>
      <c r="S16" s="20">
        <v>313</v>
      </c>
      <c r="T16" s="20">
        <v>88</v>
      </c>
      <c r="U16" s="20">
        <v>123</v>
      </c>
      <c r="V16" s="34">
        <f>SUM(Q16:U16)</f>
        <v>478167</v>
      </c>
    </row>
    <row r="17" spans="15:22" x14ac:dyDescent="0.15">
      <c r="O17" s="35"/>
      <c r="P17" s="11" t="s">
        <v>24</v>
      </c>
      <c r="Q17" s="14">
        <v>1894</v>
      </c>
      <c r="R17" s="14">
        <v>15</v>
      </c>
      <c r="S17" s="14">
        <v>5</v>
      </c>
      <c r="T17" s="14">
        <v>4</v>
      </c>
      <c r="U17" s="14">
        <v>2</v>
      </c>
      <c r="V17" s="30">
        <f>SUM(Q17:U17)</f>
        <v>1920</v>
      </c>
    </row>
    <row r="18" spans="15:22" x14ac:dyDescent="0.15">
      <c r="O18" s="35"/>
      <c r="P18" s="11" t="s">
        <v>26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30">
        <f>SUM(Q18:U18)</f>
        <v>0</v>
      </c>
    </row>
    <row r="19" spans="15:22" ht="14" thickBot="1" x14ac:dyDescent="0.2">
      <c r="O19" s="36"/>
      <c r="P19" s="17" t="s">
        <v>28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32">
        <f>SUM(Q19:U19)</f>
        <v>0</v>
      </c>
    </row>
    <row r="20" spans="15:22" x14ac:dyDescent="0.15">
      <c r="O20" s="33" t="s">
        <v>33</v>
      </c>
      <c r="P20" s="19" t="s">
        <v>22</v>
      </c>
      <c r="Q20" s="20">
        <v>549764</v>
      </c>
      <c r="R20" s="20">
        <v>2094</v>
      </c>
      <c r="S20" s="20">
        <v>629</v>
      </c>
      <c r="T20" s="20">
        <v>216</v>
      </c>
      <c r="U20" s="20">
        <v>322</v>
      </c>
      <c r="V20" s="34">
        <f>SUM(Q20:U20)</f>
        <v>553025</v>
      </c>
    </row>
    <row r="21" spans="15:22" x14ac:dyDescent="0.15">
      <c r="O21" s="35"/>
      <c r="P21" s="11" t="s">
        <v>24</v>
      </c>
      <c r="Q21" s="14">
        <v>461</v>
      </c>
      <c r="R21" s="14">
        <v>1</v>
      </c>
      <c r="S21" s="14">
        <v>4</v>
      </c>
      <c r="T21" s="14">
        <v>2</v>
      </c>
      <c r="U21" s="14">
        <v>5</v>
      </c>
      <c r="V21" s="30">
        <f>SUM(Q21:U21)</f>
        <v>473</v>
      </c>
    </row>
    <row r="22" spans="15:22" x14ac:dyDescent="0.15">
      <c r="O22" s="35"/>
      <c r="P22" s="11" t="s">
        <v>26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30">
        <f>SUM(Q22:U22)</f>
        <v>0</v>
      </c>
    </row>
    <row r="23" spans="15:22" ht="14" thickBot="1" x14ac:dyDescent="0.2">
      <c r="O23" s="36"/>
      <c r="P23" s="17" t="s">
        <v>28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32">
        <f>SUM(Q23:U23)</f>
        <v>0</v>
      </c>
    </row>
    <row r="24" spans="15:22" x14ac:dyDescent="0.15">
      <c r="O24" s="33" t="s">
        <v>34</v>
      </c>
      <c r="P24" s="19" t="s">
        <v>22</v>
      </c>
      <c r="Q24" s="20">
        <v>466846</v>
      </c>
      <c r="R24" s="20">
        <v>1391</v>
      </c>
      <c r="S24" s="20">
        <v>380</v>
      </c>
      <c r="T24" s="20">
        <v>110</v>
      </c>
      <c r="U24" s="20">
        <v>175</v>
      </c>
      <c r="V24" s="34">
        <f>SUM(Q24:U24)</f>
        <v>468902</v>
      </c>
    </row>
    <row r="25" spans="15:22" x14ac:dyDescent="0.15">
      <c r="O25" s="35"/>
      <c r="P25" s="11" t="s">
        <v>24</v>
      </c>
      <c r="Q25" s="14">
        <v>1997</v>
      </c>
      <c r="R25" s="14">
        <v>17</v>
      </c>
      <c r="S25" s="14">
        <v>7</v>
      </c>
      <c r="T25" s="14">
        <v>1</v>
      </c>
      <c r="U25" s="14">
        <v>15</v>
      </c>
      <c r="V25" s="30">
        <f>SUM(Q25:U25)</f>
        <v>2037</v>
      </c>
    </row>
    <row r="26" spans="15:22" x14ac:dyDescent="0.15">
      <c r="O26" s="35"/>
      <c r="P26" s="11" t="s">
        <v>26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30">
        <f>SUM(Q26:U26)</f>
        <v>0</v>
      </c>
    </row>
    <row r="27" spans="15:22" ht="14" thickBot="1" x14ac:dyDescent="0.2">
      <c r="O27" s="36"/>
      <c r="P27" s="17" t="s">
        <v>28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32">
        <f>SUM(Q27:U27)</f>
        <v>0</v>
      </c>
    </row>
    <row r="28" spans="15:22" x14ac:dyDescent="0.15">
      <c r="O28" s="33" t="s">
        <v>35</v>
      </c>
      <c r="P28" s="19" t="s">
        <v>22</v>
      </c>
      <c r="Q28" s="20">
        <v>50672</v>
      </c>
      <c r="R28" s="20">
        <v>66</v>
      </c>
      <c r="S28" s="20">
        <v>18</v>
      </c>
      <c r="T28" s="20">
        <v>4</v>
      </c>
      <c r="U28" s="20">
        <v>10</v>
      </c>
      <c r="V28" s="34">
        <f>SUM(Q28:U28)</f>
        <v>50770</v>
      </c>
    </row>
    <row r="29" spans="15:22" x14ac:dyDescent="0.15">
      <c r="O29" s="35"/>
      <c r="P29" s="11" t="s">
        <v>24</v>
      </c>
      <c r="Q29" s="14">
        <v>3230</v>
      </c>
      <c r="R29" s="14">
        <v>18</v>
      </c>
      <c r="S29" s="14">
        <v>11</v>
      </c>
      <c r="T29" s="14">
        <v>3</v>
      </c>
      <c r="U29" s="14">
        <v>2</v>
      </c>
      <c r="V29" s="30">
        <f>SUM(Q29:U29)</f>
        <v>3264</v>
      </c>
    </row>
    <row r="30" spans="15:22" x14ac:dyDescent="0.15">
      <c r="O30" s="35"/>
      <c r="P30" s="11" t="s">
        <v>26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30">
        <f>SUM(Q30:U30)</f>
        <v>0</v>
      </c>
    </row>
    <row r="31" spans="15:22" ht="14" thickBot="1" x14ac:dyDescent="0.2">
      <c r="O31" s="36"/>
      <c r="P31" s="17" t="s">
        <v>28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32">
        <f>SUM(Q31:U31)</f>
        <v>0</v>
      </c>
    </row>
    <row r="32" spans="15:22" x14ac:dyDescent="0.15">
      <c r="O32" s="33" t="s">
        <v>36</v>
      </c>
      <c r="P32" s="19" t="s">
        <v>22</v>
      </c>
      <c r="Q32" s="20">
        <v>163106</v>
      </c>
      <c r="R32" s="20">
        <v>29</v>
      </c>
      <c r="S32" s="20">
        <v>15</v>
      </c>
      <c r="T32" s="20">
        <v>2</v>
      </c>
      <c r="U32" s="20">
        <v>4</v>
      </c>
      <c r="V32" s="34">
        <f>SUM(Q32:U32)</f>
        <v>163156</v>
      </c>
    </row>
    <row r="33" spans="15:22" x14ac:dyDescent="0.15">
      <c r="O33" s="35"/>
      <c r="P33" s="11" t="s">
        <v>24</v>
      </c>
      <c r="Q33" s="14">
        <v>5175</v>
      </c>
      <c r="R33" s="14">
        <v>36</v>
      </c>
      <c r="S33" s="14">
        <v>10</v>
      </c>
      <c r="T33" s="14">
        <v>3</v>
      </c>
      <c r="U33" s="14">
        <v>6</v>
      </c>
      <c r="V33" s="30">
        <f>SUM(Q33:U33)</f>
        <v>5230</v>
      </c>
    </row>
    <row r="34" spans="15:22" x14ac:dyDescent="0.15">
      <c r="O34" s="35"/>
      <c r="P34" s="11" t="s">
        <v>26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30">
        <f>SUM(Q34:U34)</f>
        <v>0</v>
      </c>
    </row>
    <row r="35" spans="15:22" ht="14" thickBot="1" x14ac:dyDescent="0.2">
      <c r="O35" s="36"/>
      <c r="P35" s="17" t="s">
        <v>28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32">
        <f>SUM(Q35:U35)</f>
        <v>0</v>
      </c>
    </row>
    <row r="36" spans="15:22" x14ac:dyDescent="0.15">
      <c r="O36" s="33" t="s">
        <v>37</v>
      </c>
      <c r="P36" s="19" t="s">
        <v>22</v>
      </c>
      <c r="Q36" s="20">
        <v>1016234</v>
      </c>
      <c r="R36" s="20">
        <v>278</v>
      </c>
      <c r="S36" s="20">
        <v>91</v>
      </c>
      <c r="T36" s="20">
        <v>38</v>
      </c>
      <c r="U36" s="20">
        <v>50</v>
      </c>
      <c r="V36" s="34">
        <f>SUM(Q36:U36)</f>
        <v>1016691</v>
      </c>
    </row>
    <row r="37" spans="15:22" x14ac:dyDescent="0.15">
      <c r="O37" s="35"/>
      <c r="P37" s="11" t="s">
        <v>24</v>
      </c>
      <c r="Q37" s="14">
        <v>2151</v>
      </c>
      <c r="R37" s="14">
        <v>38</v>
      </c>
      <c r="S37" s="14">
        <v>23</v>
      </c>
      <c r="T37" s="14">
        <v>7</v>
      </c>
      <c r="U37" s="14">
        <v>19</v>
      </c>
      <c r="V37" s="30">
        <f>SUM(Q37:U37)</f>
        <v>2238</v>
      </c>
    </row>
    <row r="38" spans="15:22" x14ac:dyDescent="0.15">
      <c r="O38" s="35"/>
      <c r="P38" s="11" t="s">
        <v>26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30">
        <f>SUM(Q38:U38)</f>
        <v>0</v>
      </c>
    </row>
    <row r="39" spans="15:22" ht="14" thickBot="1" x14ac:dyDescent="0.2">
      <c r="O39" s="36"/>
      <c r="P39" s="17" t="s">
        <v>28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32">
        <f>SUM(Q39:U39)</f>
        <v>0</v>
      </c>
    </row>
    <row r="40" spans="15:22" x14ac:dyDescent="0.15">
      <c r="O40" s="33" t="s">
        <v>38</v>
      </c>
      <c r="P40" s="19" t="s">
        <v>22</v>
      </c>
      <c r="Q40" s="20">
        <v>265252</v>
      </c>
      <c r="R40" s="20">
        <v>577</v>
      </c>
      <c r="S40" s="20">
        <v>97</v>
      </c>
      <c r="T40" s="20">
        <v>30</v>
      </c>
      <c r="U40" s="20">
        <v>25</v>
      </c>
      <c r="V40" s="34">
        <f>SUM(Q40:U40)</f>
        <v>265981</v>
      </c>
    </row>
    <row r="41" spans="15:22" x14ac:dyDescent="0.15">
      <c r="O41" s="35"/>
      <c r="P41" s="11" t="s">
        <v>24</v>
      </c>
      <c r="Q41" s="14">
        <v>8</v>
      </c>
      <c r="R41" s="14">
        <v>0</v>
      </c>
      <c r="S41" s="14">
        <v>0</v>
      </c>
      <c r="T41" s="14">
        <v>0</v>
      </c>
      <c r="U41" s="14">
        <v>0</v>
      </c>
      <c r="V41" s="30">
        <f>SUM(Q41:U41)</f>
        <v>8</v>
      </c>
    </row>
    <row r="42" spans="15:22" x14ac:dyDescent="0.15">
      <c r="O42" s="35"/>
      <c r="P42" s="11" t="s">
        <v>26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30">
        <f>SUM(Q42:U42)</f>
        <v>0</v>
      </c>
    </row>
    <row r="43" spans="15:22" ht="14" thickBot="1" x14ac:dyDescent="0.2">
      <c r="O43" s="36"/>
      <c r="P43" s="17" t="s">
        <v>28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32">
        <f>SUM(Q43:U43)</f>
        <v>0</v>
      </c>
    </row>
    <row r="44" spans="15:22" x14ac:dyDescent="0.15">
      <c r="O44" s="33" t="s">
        <v>39</v>
      </c>
      <c r="P44" s="19" t="s">
        <v>22</v>
      </c>
      <c r="Q44" s="20">
        <v>11041</v>
      </c>
      <c r="R44" s="20">
        <v>0</v>
      </c>
      <c r="S44" s="20">
        <v>0</v>
      </c>
      <c r="T44" s="20">
        <v>0</v>
      </c>
      <c r="U44" s="20">
        <v>0</v>
      </c>
      <c r="V44" s="34">
        <f>SUM(Q44:U44)</f>
        <v>11041</v>
      </c>
    </row>
    <row r="45" spans="15:22" x14ac:dyDescent="0.15">
      <c r="O45" s="35"/>
      <c r="P45" s="11" t="s">
        <v>24</v>
      </c>
      <c r="Q45" s="14">
        <v>811</v>
      </c>
      <c r="R45" s="14">
        <v>1</v>
      </c>
      <c r="S45" s="14">
        <v>0</v>
      </c>
      <c r="T45" s="14">
        <v>0</v>
      </c>
      <c r="U45" s="14">
        <v>0</v>
      </c>
      <c r="V45" s="30">
        <f>SUM(Q45:U45)</f>
        <v>812</v>
      </c>
    </row>
    <row r="46" spans="15:22" x14ac:dyDescent="0.15">
      <c r="O46" s="35"/>
      <c r="P46" s="11" t="s">
        <v>26</v>
      </c>
      <c r="Q46" s="14">
        <v>8</v>
      </c>
      <c r="R46" s="14">
        <v>0</v>
      </c>
      <c r="S46" s="14">
        <v>0</v>
      </c>
      <c r="T46" s="14">
        <v>0</v>
      </c>
      <c r="U46" s="14">
        <v>0</v>
      </c>
      <c r="V46" s="30">
        <f>SUM(Q46:U46)</f>
        <v>8</v>
      </c>
    </row>
    <row r="47" spans="15:22" ht="14" thickBot="1" x14ac:dyDescent="0.2">
      <c r="O47" s="36"/>
      <c r="P47" s="17" t="s">
        <v>28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32">
        <f>SUM(Q47:U47)</f>
        <v>0</v>
      </c>
    </row>
    <row r="48" spans="15:22" x14ac:dyDescent="0.15">
      <c r="O48" s="33" t="s">
        <v>40</v>
      </c>
      <c r="P48" s="19" t="s">
        <v>22</v>
      </c>
      <c r="Q48" s="20">
        <v>1212542</v>
      </c>
      <c r="R48" s="20">
        <v>2935</v>
      </c>
      <c r="S48" s="20">
        <v>693</v>
      </c>
      <c r="T48" s="20">
        <v>205</v>
      </c>
      <c r="U48" s="20">
        <v>236</v>
      </c>
      <c r="V48" s="34">
        <f>SUM(Q48:U48)</f>
        <v>1216611</v>
      </c>
    </row>
    <row r="49" spans="15:22" x14ac:dyDescent="0.15">
      <c r="O49" s="35"/>
      <c r="P49" s="11" t="s">
        <v>24</v>
      </c>
      <c r="Q49" s="14">
        <v>25</v>
      </c>
      <c r="R49" s="14">
        <v>0</v>
      </c>
      <c r="S49" s="14">
        <v>0</v>
      </c>
      <c r="T49" s="14">
        <v>1</v>
      </c>
      <c r="U49" s="14">
        <v>0</v>
      </c>
      <c r="V49" s="30">
        <f>SUM(Q49:U49)</f>
        <v>26</v>
      </c>
    </row>
    <row r="50" spans="15:22" x14ac:dyDescent="0.15">
      <c r="O50" s="35"/>
      <c r="P50" s="11" t="s">
        <v>26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30">
        <f>SUM(Q50:U50)</f>
        <v>0</v>
      </c>
    </row>
    <row r="51" spans="15:22" ht="14" thickBot="1" x14ac:dyDescent="0.2">
      <c r="O51" s="36"/>
      <c r="P51" s="17" t="s">
        <v>28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32">
        <f>SUM(Q51:U51)</f>
        <v>0</v>
      </c>
    </row>
    <row r="52" spans="15:22" x14ac:dyDescent="0.15">
      <c r="O52" s="33" t="s">
        <v>41</v>
      </c>
      <c r="P52" s="19" t="s">
        <v>22</v>
      </c>
      <c r="Q52" s="20">
        <v>1296060</v>
      </c>
      <c r="R52" s="20">
        <v>3145</v>
      </c>
      <c r="S52" s="20">
        <v>661</v>
      </c>
      <c r="T52" s="20">
        <v>180</v>
      </c>
      <c r="U52" s="20">
        <v>161</v>
      </c>
      <c r="V52" s="34">
        <f>SUM(Q52:U52)</f>
        <v>1300207</v>
      </c>
    </row>
    <row r="53" spans="15:22" x14ac:dyDescent="0.15">
      <c r="O53" s="35"/>
      <c r="P53" s="11" t="s">
        <v>24</v>
      </c>
      <c r="Q53" s="14">
        <v>2764</v>
      </c>
      <c r="R53" s="14">
        <v>11</v>
      </c>
      <c r="S53" s="14">
        <v>3</v>
      </c>
      <c r="T53" s="14">
        <v>0</v>
      </c>
      <c r="U53" s="14">
        <v>1</v>
      </c>
      <c r="V53" s="30">
        <f>SUM(Q53:U53)</f>
        <v>2779</v>
      </c>
    </row>
    <row r="54" spans="15:22" x14ac:dyDescent="0.15">
      <c r="O54" s="35"/>
      <c r="P54" s="11" t="s">
        <v>26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30">
        <f>SUM(Q54:U54)</f>
        <v>0</v>
      </c>
    </row>
    <row r="55" spans="15:22" ht="14" thickBot="1" x14ac:dyDescent="0.2">
      <c r="O55" s="36"/>
      <c r="P55" s="17" t="s">
        <v>28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32">
        <f>SUM(Q55:U55)</f>
        <v>0</v>
      </c>
    </row>
    <row r="56" spans="15:22" x14ac:dyDescent="0.15">
      <c r="O56" s="33" t="s">
        <v>42</v>
      </c>
      <c r="P56" s="19" t="s">
        <v>22</v>
      </c>
      <c r="Q56" s="20">
        <v>1416050</v>
      </c>
      <c r="R56" s="20">
        <v>2777</v>
      </c>
      <c r="S56" s="20">
        <v>420</v>
      </c>
      <c r="T56" s="20">
        <v>128</v>
      </c>
      <c r="U56" s="20">
        <v>64</v>
      </c>
      <c r="V56" s="34">
        <f>SUM(Q56:U56)</f>
        <v>1419439</v>
      </c>
    </row>
    <row r="57" spans="15:22" x14ac:dyDescent="0.15">
      <c r="O57" s="35"/>
      <c r="P57" s="11" t="s">
        <v>24</v>
      </c>
      <c r="Q57" s="14">
        <v>1561</v>
      </c>
      <c r="R57" s="14">
        <v>16</v>
      </c>
      <c r="S57" s="14">
        <v>2</v>
      </c>
      <c r="T57" s="14">
        <v>2</v>
      </c>
      <c r="U57" s="14">
        <v>4</v>
      </c>
      <c r="V57" s="30">
        <f>SUM(Q57:U57)</f>
        <v>1585</v>
      </c>
    </row>
    <row r="58" spans="15:22" x14ac:dyDescent="0.15">
      <c r="O58" s="35"/>
      <c r="P58" s="11" t="s">
        <v>26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30">
        <f>SUM(Q58:U58)</f>
        <v>0</v>
      </c>
    </row>
    <row r="59" spans="15:22" ht="14" thickBot="1" x14ac:dyDescent="0.2">
      <c r="O59" s="36"/>
      <c r="P59" s="17" t="s">
        <v>28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32">
        <f>SUM(Q59:U59)</f>
        <v>0</v>
      </c>
    </row>
    <row r="60" spans="15:22" x14ac:dyDescent="0.15">
      <c r="O60" s="33" t="s">
        <v>43</v>
      </c>
      <c r="P60" s="19" t="s">
        <v>22</v>
      </c>
      <c r="Q60" s="20">
        <v>1509231</v>
      </c>
      <c r="R60" s="20">
        <v>3071</v>
      </c>
      <c r="S60" s="20">
        <v>452</v>
      </c>
      <c r="T60" s="20">
        <v>143</v>
      </c>
      <c r="U60" s="20">
        <v>86</v>
      </c>
      <c r="V60" s="34">
        <f>SUM(Q60:U60)</f>
        <v>1512983</v>
      </c>
    </row>
    <row r="61" spans="15:22" x14ac:dyDescent="0.15">
      <c r="O61" s="35"/>
      <c r="P61" s="11" t="s">
        <v>24</v>
      </c>
      <c r="Q61" s="14">
        <v>329</v>
      </c>
      <c r="R61" s="14">
        <v>1</v>
      </c>
      <c r="S61" s="14">
        <v>2</v>
      </c>
      <c r="T61" s="14">
        <v>0</v>
      </c>
      <c r="U61" s="14">
        <v>0</v>
      </c>
      <c r="V61" s="30">
        <f>SUM(Q61:U61)</f>
        <v>332</v>
      </c>
    </row>
    <row r="62" spans="15:22" x14ac:dyDescent="0.15">
      <c r="O62" s="35"/>
      <c r="P62" s="11" t="s">
        <v>26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30">
        <f>SUM(Q62:U62)</f>
        <v>0</v>
      </c>
    </row>
    <row r="63" spans="15:22" ht="14" thickBot="1" x14ac:dyDescent="0.2">
      <c r="O63" s="36"/>
      <c r="P63" s="17" t="s">
        <v>28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32">
        <f>SUM(Q63:U63)</f>
        <v>0</v>
      </c>
    </row>
    <row r="64" spans="15:22" x14ac:dyDescent="0.15">
      <c r="O64" s="33" t="s">
        <v>44</v>
      </c>
      <c r="P64" s="19" t="s">
        <v>22</v>
      </c>
      <c r="Q64" s="20">
        <v>1542544</v>
      </c>
      <c r="R64" s="20">
        <v>3494</v>
      </c>
      <c r="S64" s="20">
        <v>634</v>
      </c>
      <c r="T64" s="20">
        <v>171</v>
      </c>
      <c r="U64" s="20">
        <v>182</v>
      </c>
      <c r="V64" s="34">
        <f>SUM(Q64:U64)</f>
        <v>1547025</v>
      </c>
    </row>
    <row r="65" spans="15:22" x14ac:dyDescent="0.15">
      <c r="O65" s="35"/>
      <c r="P65" s="11" t="s">
        <v>24</v>
      </c>
      <c r="Q65" s="14">
        <v>14</v>
      </c>
      <c r="R65" s="14">
        <v>0</v>
      </c>
      <c r="S65" s="14">
        <v>0</v>
      </c>
      <c r="T65" s="14">
        <v>0</v>
      </c>
      <c r="U65" s="14">
        <v>0</v>
      </c>
      <c r="V65" s="30">
        <f>SUM(Q65:U65)</f>
        <v>14</v>
      </c>
    </row>
    <row r="66" spans="15:22" x14ac:dyDescent="0.15">
      <c r="O66" s="35"/>
      <c r="P66" s="11" t="s">
        <v>26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30">
        <f>SUM(Q66:U66)</f>
        <v>0</v>
      </c>
    </row>
    <row r="67" spans="15:22" ht="14" thickBot="1" x14ac:dyDescent="0.2">
      <c r="O67" s="36"/>
      <c r="P67" s="17" t="s">
        <v>28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32">
        <f>SUM(Q67:U67)</f>
        <v>0</v>
      </c>
    </row>
    <row r="68" spans="15:22" x14ac:dyDescent="0.15">
      <c r="O68" s="33" t="s">
        <v>45</v>
      </c>
      <c r="P68" s="19" t="s">
        <v>22</v>
      </c>
      <c r="Q68" s="20">
        <v>1588304</v>
      </c>
      <c r="R68" s="20">
        <v>3473</v>
      </c>
      <c r="S68" s="20">
        <v>518</v>
      </c>
      <c r="T68" s="20">
        <v>203</v>
      </c>
      <c r="U68" s="20">
        <v>94</v>
      </c>
      <c r="V68" s="34">
        <f>SUM(Q68:U68)</f>
        <v>1592592</v>
      </c>
    </row>
    <row r="69" spans="15:22" x14ac:dyDescent="0.15">
      <c r="O69" s="35"/>
      <c r="P69" s="11" t="s">
        <v>24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30">
        <f>SUM(Q69:U69)</f>
        <v>0</v>
      </c>
    </row>
    <row r="70" spans="15:22" x14ac:dyDescent="0.15">
      <c r="O70" s="35"/>
      <c r="P70" s="11" t="s">
        <v>26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30">
        <f>SUM(Q70:U70)</f>
        <v>0</v>
      </c>
    </row>
    <row r="71" spans="15:22" ht="14" thickBot="1" x14ac:dyDescent="0.2">
      <c r="O71" s="36"/>
      <c r="P71" s="17" t="s">
        <v>28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32">
        <f>SUM(Q71:U71)</f>
        <v>0</v>
      </c>
    </row>
    <row r="72" spans="15:22" x14ac:dyDescent="0.15">
      <c r="O72" s="33" t="s">
        <v>46</v>
      </c>
      <c r="P72" s="19" t="s">
        <v>22</v>
      </c>
      <c r="Q72" s="20">
        <v>1667169</v>
      </c>
      <c r="R72" s="20">
        <v>3570</v>
      </c>
      <c r="S72" s="20">
        <v>495</v>
      </c>
      <c r="T72" s="20">
        <v>185</v>
      </c>
      <c r="U72" s="20">
        <v>101</v>
      </c>
      <c r="V72" s="34">
        <f>SUM(Q72:U72)</f>
        <v>1671520</v>
      </c>
    </row>
    <row r="73" spans="15:22" x14ac:dyDescent="0.15">
      <c r="O73" s="35"/>
      <c r="P73" s="11" t="s">
        <v>24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30">
        <f>SUM(Q73:U73)</f>
        <v>0</v>
      </c>
    </row>
    <row r="74" spans="15:22" x14ac:dyDescent="0.15">
      <c r="O74" s="35"/>
      <c r="P74" s="11" t="s">
        <v>26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30">
        <f>SUM(Q74:U74)</f>
        <v>0</v>
      </c>
    </row>
    <row r="75" spans="15:22" ht="14" thickBot="1" x14ac:dyDescent="0.2">
      <c r="O75" s="36"/>
      <c r="P75" s="17" t="s">
        <v>28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32">
        <f>SUM(Q75:U75)</f>
        <v>0</v>
      </c>
    </row>
    <row r="76" spans="15:22" x14ac:dyDescent="0.15">
      <c r="O76" s="33" t="s">
        <v>47</v>
      </c>
      <c r="P76" s="19" t="s">
        <v>22</v>
      </c>
      <c r="Q76" s="20">
        <v>43021</v>
      </c>
      <c r="R76" s="20">
        <v>103</v>
      </c>
      <c r="S76" s="20">
        <v>23</v>
      </c>
      <c r="T76" s="20">
        <v>8</v>
      </c>
      <c r="U76" s="20">
        <v>8</v>
      </c>
      <c r="V76" s="34">
        <f>SUM(Q76:U76)</f>
        <v>43163</v>
      </c>
    </row>
    <row r="77" spans="15:22" x14ac:dyDescent="0.15">
      <c r="O77" s="35"/>
      <c r="P77" s="11" t="s">
        <v>24</v>
      </c>
      <c r="Q77" s="14">
        <v>3547</v>
      </c>
      <c r="R77" s="14">
        <v>17</v>
      </c>
      <c r="S77" s="14">
        <v>3</v>
      </c>
      <c r="T77" s="14">
        <v>1</v>
      </c>
      <c r="U77" s="14">
        <v>1</v>
      </c>
      <c r="V77" s="30">
        <f>SUM(Q77:U77)</f>
        <v>3569</v>
      </c>
    </row>
    <row r="78" spans="15:22" x14ac:dyDescent="0.15">
      <c r="O78" s="35"/>
      <c r="P78" s="11" t="s">
        <v>26</v>
      </c>
      <c r="Q78" s="14">
        <v>14</v>
      </c>
      <c r="R78" s="14">
        <v>0</v>
      </c>
      <c r="S78" s="14">
        <v>0</v>
      </c>
      <c r="T78" s="14">
        <v>0</v>
      </c>
      <c r="U78" s="14">
        <v>0</v>
      </c>
      <c r="V78" s="30">
        <f>SUM(Q78:U78)</f>
        <v>14</v>
      </c>
    </row>
    <row r="79" spans="15:22" ht="14" thickBot="1" x14ac:dyDescent="0.2">
      <c r="O79" s="36"/>
      <c r="P79" s="17" t="s">
        <v>28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32">
        <f>SUM(Q79:U79)</f>
        <v>0</v>
      </c>
    </row>
    <row r="80" spans="15:22" x14ac:dyDescent="0.15">
      <c r="O80" s="33" t="s">
        <v>48</v>
      </c>
      <c r="P80" s="19" t="s">
        <v>22</v>
      </c>
      <c r="Q80" s="20">
        <v>41574</v>
      </c>
      <c r="R80" s="20">
        <v>1</v>
      </c>
      <c r="S80" s="20">
        <v>0</v>
      </c>
      <c r="T80" s="20">
        <v>0</v>
      </c>
      <c r="U80" s="20">
        <v>0</v>
      </c>
      <c r="V80" s="34">
        <f>SUM(Q80:U80)</f>
        <v>41575</v>
      </c>
    </row>
    <row r="81" spans="15:22" x14ac:dyDescent="0.15">
      <c r="O81" s="35"/>
      <c r="P81" s="11" t="s">
        <v>24</v>
      </c>
      <c r="Q81" s="14">
        <v>761</v>
      </c>
      <c r="R81" s="14">
        <v>1</v>
      </c>
      <c r="S81" s="14">
        <v>0</v>
      </c>
      <c r="T81" s="14">
        <v>0</v>
      </c>
      <c r="U81" s="14">
        <v>0</v>
      </c>
      <c r="V81" s="30">
        <f>SUM(Q81:U81)</f>
        <v>762</v>
      </c>
    </row>
    <row r="82" spans="15:22" x14ac:dyDescent="0.15">
      <c r="O82" s="35"/>
      <c r="P82" s="11" t="s">
        <v>26</v>
      </c>
      <c r="Q82" s="14">
        <v>15</v>
      </c>
      <c r="R82" s="14">
        <v>0</v>
      </c>
      <c r="S82" s="14">
        <v>0</v>
      </c>
      <c r="T82" s="14">
        <v>0</v>
      </c>
      <c r="U82" s="14">
        <v>0</v>
      </c>
      <c r="V82" s="30">
        <f>SUM(Q82:U82)</f>
        <v>15</v>
      </c>
    </row>
    <row r="83" spans="15:22" ht="14" thickBot="1" x14ac:dyDescent="0.2">
      <c r="O83" s="36"/>
      <c r="P83" s="17" t="s">
        <v>28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32">
        <f>SUM(Q83:U83)</f>
        <v>0</v>
      </c>
    </row>
    <row r="84" spans="15:22" x14ac:dyDescent="0.15">
      <c r="O84" s="33" t="s">
        <v>49</v>
      </c>
      <c r="P84" s="19" t="s">
        <v>22</v>
      </c>
      <c r="Q84" s="20">
        <v>3576180</v>
      </c>
      <c r="R84" s="20">
        <v>9387</v>
      </c>
      <c r="S84" s="20">
        <v>372</v>
      </c>
      <c r="T84" s="20">
        <v>386</v>
      </c>
      <c r="U84" s="20">
        <v>260</v>
      </c>
      <c r="V84" s="34">
        <f>SUM(Q84:U84)</f>
        <v>3586585</v>
      </c>
    </row>
    <row r="85" spans="15:22" x14ac:dyDescent="0.15">
      <c r="O85" s="35"/>
      <c r="P85" s="11" t="s">
        <v>24</v>
      </c>
      <c r="Q85" s="14">
        <v>1249</v>
      </c>
      <c r="R85" s="14">
        <v>0</v>
      </c>
      <c r="S85" s="14">
        <v>0</v>
      </c>
      <c r="T85" s="14">
        <v>0</v>
      </c>
      <c r="U85" s="14">
        <v>1</v>
      </c>
      <c r="V85" s="30">
        <f>SUM(Q85:U85)</f>
        <v>1250</v>
      </c>
    </row>
    <row r="86" spans="15:22" x14ac:dyDescent="0.15">
      <c r="O86" s="35"/>
      <c r="P86" s="11" t="s">
        <v>26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30">
        <f>SUM(Q86:U86)</f>
        <v>0</v>
      </c>
    </row>
    <row r="87" spans="15:22" ht="14" thickBot="1" x14ac:dyDescent="0.2">
      <c r="O87" s="36"/>
      <c r="P87" s="17" t="s">
        <v>28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32">
        <f>SUM(Q87:U87)</f>
        <v>0</v>
      </c>
    </row>
    <row r="88" spans="15:22" x14ac:dyDescent="0.15">
      <c r="O88" s="33" t="s">
        <v>50</v>
      </c>
      <c r="P88" s="19" t="s">
        <v>22</v>
      </c>
      <c r="Q88" s="20">
        <v>145862</v>
      </c>
      <c r="R88" s="20">
        <v>2076</v>
      </c>
      <c r="S88" s="20">
        <v>73</v>
      </c>
      <c r="T88" s="20">
        <v>4</v>
      </c>
      <c r="U88" s="20">
        <v>5</v>
      </c>
      <c r="V88" s="34">
        <f>SUM(Q88:U88)</f>
        <v>148020</v>
      </c>
    </row>
    <row r="89" spans="15:22" x14ac:dyDescent="0.15">
      <c r="O89" s="35"/>
      <c r="P89" s="11" t="s">
        <v>24</v>
      </c>
      <c r="Q89" s="14">
        <v>1941</v>
      </c>
      <c r="R89" s="14">
        <v>17</v>
      </c>
      <c r="S89" s="14">
        <v>0</v>
      </c>
      <c r="T89" s="14">
        <v>2</v>
      </c>
      <c r="U89" s="14">
        <v>5</v>
      </c>
      <c r="V89" s="30">
        <f>SUM(Q89:U89)</f>
        <v>1965</v>
      </c>
    </row>
    <row r="90" spans="15:22" x14ac:dyDescent="0.15">
      <c r="O90" s="35"/>
      <c r="P90" s="11" t="s">
        <v>26</v>
      </c>
      <c r="Q90" s="14">
        <v>39</v>
      </c>
      <c r="R90" s="14">
        <v>2</v>
      </c>
      <c r="S90" s="14">
        <v>1</v>
      </c>
      <c r="T90" s="14">
        <v>0</v>
      </c>
      <c r="U90" s="14">
        <v>1</v>
      </c>
      <c r="V90" s="30">
        <f>SUM(Q90:U90)</f>
        <v>43</v>
      </c>
    </row>
    <row r="91" spans="15:22" ht="14" thickBot="1" x14ac:dyDescent="0.2">
      <c r="O91" s="36"/>
      <c r="P91" s="17" t="s">
        <v>28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32">
        <f>SUM(Q91:U91)</f>
        <v>0</v>
      </c>
    </row>
    <row r="92" spans="15:22" x14ac:dyDescent="0.15">
      <c r="O92" s="33" t="s">
        <v>51</v>
      </c>
      <c r="P92" s="19" t="s">
        <v>22</v>
      </c>
      <c r="Q92" s="20">
        <v>150758</v>
      </c>
      <c r="R92" s="20">
        <v>2256</v>
      </c>
      <c r="S92" s="20">
        <v>119</v>
      </c>
      <c r="T92" s="20">
        <v>13</v>
      </c>
      <c r="U92" s="20">
        <v>11</v>
      </c>
      <c r="V92" s="34">
        <f>SUM(Q92:U92)</f>
        <v>153157</v>
      </c>
    </row>
    <row r="93" spans="15:22" x14ac:dyDescent="0.15">
      <c r="O93" s="35"/>
      <c r="P93" s="11" t="s">
        <v>24</v>
      </c>
      <c r="Q93" s="14">
        <v>651</v>
      </c>
      <c r="R93" s="14">
        <v>4</v>
      </c>
      <c r="S93" s="14">
        <v>5</v>
      </c>
      <c r="T93" s="14">
        <v>2</v>
      </c>
      <c r="U93" s="14">
        <v>2</v>
      </c>
      <c r="V93" s="30">
        <f>SUM(Q93:U93)</f>
        <v>664</v>
      </c>
    </row>
    <row r="94" spans="15:22" x14ac:dyDescent="0.15">
      <c r="O94" s="35"/>
      <c r="P94" s="11" t="s">
        <v>26</v>
      </c>
      <c r="Q94" s="14">
        <v>74</v>
      </c>
      <c r="R94" s="14">
        <v>0</v>
      </c>
      <c r="S94" s="14">
        <v>0</v>
      </c>
      <c r="T94" s="14">
        <v>0</v>
      </c>
      <c r="U94" s="14">
        <v>1</v>
      </c>
      <c r="V94" s="30">
        <f>SUM(Q94:U94)</f>
        <v>75</v>
      </c>
    </row>
    <row r="95" spans="15:22" ht="14" thickBot="1" x14ac:dyDescent="0.2">
      <c r="O95" s="36"/>
      <c r="P95" s="17" t="s">
        <v>28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32">
        <f>SUM(Q95:U95)</f>
        <v>0</v>
      </c>
    </row>
    <row r="96" spans="15:22" x14ac:dyDescent="0.15">
      <c r="O96" s="33" t="s">
        <v>52</v>
      </c>
      <c r="P96" s="19" t="s">
        <v>22</v>
      </c>
      <c r="Q96" s="20">
        <v>154594</v>
      </c>
      <c r="R96" s="20">
        <v>1989</v>
      </c>
      <c r="S96" s="20">
        <v>111</v>
      </c>
      <c r="T96" s="20">
        <v>8</v>
      </c>
      <c r="U96" s="20">
        <v>6</v>
      </c>
      <c r="V96" s="34">
        <f>SUM(Q96:U96)</f>
        <v>156708</v>
      </c>
    </row>
    <row r="97" spans="15:22" x14ac:dyDescent="0.15">
      <c r="O97" s="35"/>
      <c r="P97" s="11" t="s">
        <v>24</v>
      </c>
      <c r="Q97" s="14">
        <v>2075</v>
      </c>
      <c r="R97" s="14">
        <v>9</v>
      </c>
      <c r="S97" s="14">
        <v>5</v>
      </c>
      <c r="T97" s="14">
        <v>2</v>
      </c>
      <c r="U97" s="14">
        <v>7</v>
      </c>
      <c r="V97" s="30">
        <f>SUM(Q97:U97)</f>
        <v>2098</v>
      </c>
    </row>
    <row r="98" spans="15:22" x14ac:dyDescent="0.15">
      <c r="O98" s="35"/>
      <c r="P98" s="11" t="s">
        <v>26</v>
      </c>
      <c r="Q98" s="14">
        <v>110</v>
      </c>
      <c r="R98" s="14">
        <v>2</v>
      </c>
      <c r="S98" s="14">
        <v>1</v>
      </c>
      <c r="T98" s="14">
        <v>0</v>
      </c>
      <c r="U98" s="14">
        <v>1</v>
      </c>
      <c r="V98" s="30">
        <f>SUM(Q98:U98)</f>
        <v>114</v>
      </c>
    </row>
    <row r="99" spans="15:22" ht="14" thickBot="1" x14ac:dyDescent="0.2">
      <c r="O99" s="36"/>
      <c r="P99" s="17" t="s">
        <v>28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32">
        <f>SUM(Q99:U99)</f>
        <v>0</v>
      </c>
    </row>
    <row r="100" spans="15:22" x14ac:dyDescent="0.15">
      <c r="O100" s="33" t="s">
        <v>53</v>
      </c>
      <c r="P100" s="19" t="s">
        <v>22</v>
      </c>
      <c r="Q100" s="20">
        <v>160287</v>
      </c>
      <c r="R100" s="20">
        <v>2289</v>
      </c>
      <c r="S100" s="20">
        <v>137</v>
      </c>
      <c r="T100" s="20">
        <v>4</v>
      </c>
      <c r="U100" s="20">
        <v>4</v>
      </c>
      <c r="V100" s="34">
        <f>SUM(Q100:U100)</f>
        <v>162721</v>
      </c>
    </row>
    <row r="101" spans="15:22" x14ac:dyDescent="0.15">
      <c r="O101" s="35"/>
      <c r="P101" s="11" t="s">
        <v>24</v>
      </c>
      <c r="Q101" s="14">
        <v>495</v>
      </c>
      <c r="R101" s="14">
        <v>1</v>
      </c>
      <c r="S101" s="14">
        <v>2</v>
      </c>
      <c r="T101" s="14">
        <v>0</v>
      </c>
      <c r="U101" s="14">
        <v>1</v>
      </c>
      <c r="V101" s="30">
        <f>SUM(Q101:U101)</f>
        <v>499</v>
      </c>
    </row>
    <row r="102" spans="15:22" x14ac:dyDescent="0.15">
      <c r="O102" s="35"/>
      <c r="P102" s="11" t="s">
        <v>26</v>
      </c>
      <c r="Q102" s="14">
        <v>120</v>
      </c>
      <c r="R102" s="14">
        <v>0</v>
      </c>
      <c r="S102" s="14">
        <v>0</v>
      </c>
      <c r="T102" s="14">
        <v>0</v>
      </c>
      <c r="U102" s="14">
        <v>1</v>
      </c>
      <c r="V102" s="30">
        <f>SUM(Q102:U102)</f>
        <v>121</v>
      </c>
    </row>
    <row r="103" spans="15:22" ht="14" thickBot="1" x14ac:dyDescent="0.2">
      <c r="O103" s="36"/>
      <c r="P103" s="17" t="s">
        <v>28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32">
        <f>SUM(Q103:U103)</f>
        <v>0</v>
      </c>
    </row>
    <row r="104" spans="15:22" x14ac:dyDescent="0.15">
      <c r="O104" s="33" t="s">
        <v>54</v>
      </c>
      <c r="P104" s="19" t="s">
        <v>22</v>
      </c>
      <c r="Q104" s="20">
        <v>156885</v>
      </c>
      <c r="R104" s="20">
        <v>2347</v>
      </c>
      <c r="S104" s="20">
        <v>112</v>
      </c>
      <c r="T104" s="20">
        <v>2</v>
      </c>
      <c r="U104" s="20">
        <v>1</v>
      </c>
      <c r="V104" s="34">
        <f>SUM(Q104:U104)</f>
        <v>159347</v>
      </c>
    </row>
    <row r="105" spans="15:22" x14ac:dyDescent="0.15">
      <c r="O105" s="35"/>
      <c r="P105" s="11" t="s">
        <v>24</v>
      </c>
      <c r="Q105" s="14">
        <v>531</v>
      </c>
      <c r="R105" s="14">
        <v>0</v>
      </c>
      <c r="S105" s="14">
        <v>0</v>
      </c>
      <c r="T105" s="14">
        <v>0</v>
      </c>
      <c r="U105" s="14">
        <v>7</v>
      </c>
      <c r="V105" s="30">
        <f>SUM(Q105:U105)</f>
        <v>538</v>
      </c>
    </row>
    <row r="106" spans="15:22" x14ac:dyDescent="0.15">
      <c r="O106" s="35"/>
      <c r="P106" s="11" t="s">
        <v>26</v>
      </c>
      <c r="Q106" s="14">
        <v>110</v>
      </c>
      <c r="R106" s="14">
        <v>2</v>
      </c>
      <c r="S106" s="14">
        <v>0</v>
      </c>
      <c r="T106" s="14">
        <v>0</v>
      </c>
      <c r="U106" s="14">
        <v>0</v>
      </c>
      <c r="V106" s="30">
        <f>SUM(Q106:U106)</f>
        <v>112</v>
      </c>
    </row>
    <row r="107" spans="15:22" ht="14" thickBot="1" x14ac:dyDescent="0.2">
      <c r="O107" s="36"/>
      <c r="P107" s="17" t="s">
        <v>28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32">
        <f>SUM(Q107:U107)</f>
        <v>0</v>
      </c>
    </row>
    <row r="108" spans="15:22" x14ac:dyDescent="0.15">
      <c r="O108" s="33" t="s">
        <v>55</v>
      </c>
      <c r="P108" s="19" t="s">
        <v>22</v>
      </c>
      <c r="Q108" s="20">
        <v>165456</v>
      </c>
      <c r="R108" s="20">
        <v>2378</v>
      </c>
      <c r="S108" s="20">
        <v>114</v>
      </c>
      <c r="T108" s="20">
        <v>7</v>
      </c>
      <c r="U108" s="20">
        <v>5</v>
      </c>
      <c r="V108" s="34">
        <f>SUM(Q108:U108)</f>
        <v>167960</v>
      </c>
    </row>
    <row r="109" spans="15:22" x14ac:dyDescent="0.15">
      <c r="O109" s="35"/>
      <c r="P109" s="11" t="s">
        <v>24</v>
      </c>
      <c r="Q109" s="14">
        <v>613</v>
      </c>
      <c r="R109" s="14">
        <v>1</v>
      </c>
      <c r="S109" s="14">
        <v>0</v>
      </c>
      <c r="T109" s="14">
        <v>1</v>
      </c>
      <c r="U109" s="14">
        <v>4</v>
      </c>
      <c r="V109" s="30">
        <f>SUM(Q109:U109)</f>
        <v>619</v>
      </c>
    </row>
    <row r="110" spans="15:22" x14ac:dyDescent="0.15">
      <c r="O110" s="35"/>
      <c r="P110" s="11" t="s">
        <v>26</v>
      </c>
      <c r="Q110" s="14">
        <v>67</v>
      </c>
      <c r="R110" s="14">
        <v>0</v>
      </c>
      <c r="S110" s="14">
        <v>0</v>
      </c>
      <c r="T110" s="14">
        <v>1</v>
      </c>
      <c r="U110" s="14">
        <v>2</v>
      </c>
      <c r="V110" s="30">
        <f>SUM(Q110:U110)</f>
        <v>70</v>
      </c>
    </row>
    <row r="111" spans="15:22" ht="14" thickBot="1" x14ac:dyDescent="0.2">
      <c r="O111" s="36"/>
      <c r="P111" s="17" t="s">
        <v>28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32">
        <f>SUM(Q111:U111)</f>
        <v>0</v>
      </c>
    </row>
    <row r="112" spans="15:22" x14ac:dyDescent="0.15">
      <c r="O112" s="33" t="s">
        <v>56</v>
      </c>
      <c r="P112" s="19" t="s">
        <v>22</v>
      </c>
      <c r="Q112" s="20">
        <v>4735612</v>
      </c>
      <c r="R112" s="20">
        <v>10751</v>
      </c>
      <c r="S112" s="20">
        <v>299</v>
      </c>
      <c r="T112" s="20">
        <v>444</v>
      </c>
      <c r="U112" s="20">
        <v>349</v>
      </c>
      <c r="V112" s="34">
        <f>SUM(Q112:U112)</f>
        <v>4747455</v>
      </c>
    </row>
    <row r="113" spans="15:22" x14ac:dyDescent="0.15">
      <c r="O113" s="35"/>
      <c r="P113" s="11" t="s">
        <v>24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30">
        <f>SUM(Q113:U113)</f>
        <v>0</v>
      </c>
    </row>
    <row r="114" spans="15:22" x14ac:dyDescent="0.15">
      <c r="O114" s="35"/>
      <c r="P114" s="11" t="s">
        <v>26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30">
        <f>SUM(Q114:U114)</f>
        <v>0</v>
      </c>
    </row>
    <row r="115" spans="15:22" ht="14" thickBot="1" x14ac:dyDescent="0.2">
      <c r="O115" s="36"/>
      <c r="P115" s="17" t="s">
        <v>28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32">
        <f>SUM(Q115:U115)</f>
        <v>0</v>
      </c>
    </row>
    <row r="116" spans="15:22" x14ac:dyDescent="0.15">
      <c r="O116" s="33" t="s">
        <v>57</v>
      </c>
      <c r="P116" s="19" t="s">
        <v>22</v>
      </c>
      <c r="Q116" s="20">
        <v>4845366</v>
      </c>
      <c r="R116" s="20">
        <v>11353</v>
      </c>
      <c r="S116" s="20">
        <v>335</v>
      </c>
      <c r="T116" s="20">
        <v>434</v>
      </c>
      <c r="U116" s="20">
        <v>412</v>
      </c>
      <c r="V116" s="34">
        <f>SUM(Q116:U116)</f>
        <v>4857900</v>
      </c>
    </row>
    <row r="117" spans="15:22" x14ac:dyDescent="0.15">
      <c r="O117" s="35"/>
      <c r="P117" s="11" t="s">
        <v>24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30">
        <f>SUM(Q117:U117)</f>
        <v>0</v>
      </c>
    </row>
    <row r="118" spans="15:22" x14ac:dyDescent="0.15">
      <c r="O118" s="35"/>
      <c r="P118" s="11" t="s">
        <v>26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30">
        <f>SUM(Q118:U118)</f>
        <v>0</v>
      </c>
    </row>
    <row r="119" spans="15:22" ht="14" thickBot="1" x14ac:dyDescent="0.2">
      <c r="O119" s="36"/>
      <c r="P119" s="17" t="s">
        <v>28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32">
        <f>SUM(Q119:U119)</f>
        <v>0</v>
      </c>
    </row>
    <row r="120" spans="15:22" x14ac:dyDescent="0.15">
      <c r="O120" s="33" t="s">
        <v>58</v>
      </c>
      <c r="P120" s="19" t="s">
        <v>22</v>
      </c>
      <c r="Q120" s="20">
        <v>5057983</v>
      </c>
      <c r="R120" s="20">
        <v>11324</v>
      </c>
      <c r="S120" s="20">
        <v>100</v>
      </c>
      <c r="T120" s="20">
        <v>324</v>
      </c>
      <c r="U120" s="20">
        <v>200</v>
      </c>
      <c r="V120" s="34">
        <f>SUM(Q120:U120)</f>
        <v>5069931</v>
      </c>
    </row>
    <row r="121" spans="15:22" x14ac:dyDescent="0.15">
      <c r="O121" s="35"/>
      <c r="P121" s="11" t="s">
        <v>24</v>
      </c>
      <c r="Q121" s="14">
        <v>1578</v>
      </c>
      <c r="R121" s="14">
        <v>15</v>
      </c>
      <c r="S121" s="14">
        <v>5</v>
      </c>
      <c r="T121" s="14">
        <v>0</v>
      </c>
      <c r="U121" s="14">
        <v>0</v>
      </c>
      <c r="V121" s="30">
        <f>SUM(Q121:U121)</f>
        <v>1598</v>
      </c>
    </row>
    <row r="122" spans="15:22" x14ac:dyDescent="0.15">
      <c r="O122" s="35"/>
      <c r="P122" s="11" t="s">
        <v>26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30">
        <f>SUM(Q122:U122)</f>
        <v>0</v>
      </c>
    </row>
    <row r="123" spans="15:22" ht="14" thickBot="1" x14ac:dyDescent="0.2">
      <c r="O123" s="36"/>
      <c r="P123" s="17" t="s">
        <v>28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32">
        <f>SUM(Q123:U123)</f>
        <v>0</v>
      </c>
    </row>
    <row r="124" spans="15:22" x14ac:dyDescent="0.15">
      <c r="O124" s="33" t="s">
        <v>59</v>
      </c>
      <c r="P124" s="19" t="s">
        <v>22</v>
      </c>
      <c r="Q124" s="20">
        <v>5319241</v>
      </c>
      <c r="R124" s="20">
        <v>13082</v>
      </c>
      <c r="S124" s="20">
        <v>303</v>
      </c>
      <c r="T124" s="20">
        <v>363</v>
      </c>
      <c r="U124" s="20">
        <v>250</v>
      </c>
      <c r="V124" s="34">
        <f>SUM(Q124:U124)</f>
        <v>5333239</v>
      </c>
    </row>
    <row r="125" spans="15:22" x14ac:dyDescent="0.15">
      <c r="O125" s="35"/>
      <c r="P125" s="11" t="s">
        <v>24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30">
        <f>SUM(Q125:U125)</f>
        <v>0</v>
      </c>
    </row>
    <row r="126" spans="15:22" x14ac:dyDescent="0.15">
      <c r="O126" s="35"/>
      <c r="P126" s="11" t="s">
        <v>26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30">
        <f>SUM(Q126:U126)</f>
        <v>0</v>
      </c>
    </row>
    <row r="127" spans="15:22" ht="14" thickBot="1" x14ac:dyDescent="0.2">
      <c r="O127" s="36"/>
      <c r="P127" s="17" t="s">
        <v>28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32">
        <f>SUM(Q127:U127)</f>
        <v>0</v>
      </c>
    </row>
    <row r="128" spans="15:22" x14ac:dyDescent="0.15">
      <c r="O128" s="33" t="s">
        <v>60</v>
      </c>
      <c r="P128" s="19" t="s">
        <v>22</v>
      </c>
      <c r="Q128" s="20">
        <v>5349965</v>
      </c>
      <c r="R128" s="20">
        <v>12568</v>
      </c>
      <c r="S128" s="20">
        <v>95</v>
      </c>
      <c r="T128" s="20">
        <v>372</v>
      </c>
      <c r="U128" s="20">
        <v>252</v>
      </c>
      <c r="V128" s="34">
        <f>SUM(Q128:U128)</f>
        <v>5363252</v>
      </c>
    </row>
    <row r="129" spans="15:22" x14ac:dyDescent="0.15">
      <c r="O129" s="35"/>
      <c r="P129" s="11" t="s">
        <v>24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30">
        <f>SUM(Q129:U129)</f>
        <v>0</v>
      </c>
    </row>
    <row r="130" spans="15:22" x14ac:dyDescent="0.15">
      <c r="O130" s="35"/>
      <c r="P130" s="11" t="s">
        <v>26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30">
        <f>SUM(Q130:U130)</f>
        <v>0</v>
      </c>
    </row>
    <row r="131" spans="15:22" ht="14" thickBot="1" x14ac:dyDescent="0.2">
      <c r="O131" s="36"/>
      <c r="P131" s="17" t="s">
        <v>28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32">
        <f>SUM(Q131:U131)</f>
        <v>0</v>
      </c>
    </row>
    <row r="132" spans="15:22" x14ac:dyDescent="0.15">
      <c r="O132" s="33" t="s">
        <v>61</v>
      </c>
      <c r="P132" s="19" t="s">
        <v>22</v>
      </c>
      <c r="Q132" s="20">
        <v>5551093</v>
      </c>
      <c r="R132" s="20">
        <v>13180</v>
      </c>
      <c r="S132" s="20">
        <v>52</v>
      </c>
      <c r="T132" s="20">
        <v>338</v>
      </c>
      <c r="U132" s="20">
        <v>42</v>
      </c>
      <c r="V132" s="34">
        <f>SUM(Q132:U132)</f>
        <v>5564705</v>
      </c>
    </row>
    <row r="133" spans="15:22" x14ac:dyDescent="0.15">
      <c r="O133" s="35"/>
      <c r="P133" s="11" t="s">
        <v>24</v>
      </c>
      <c r="Q133" s="14">
        <v>14</v>
      </c>
      <c r="R133" s="14">
        <v>0</v>
      </c>
      <c r="S133" s="14">
        <v>0</v>
      </c>
      <c r="T133" s="14">
        <v>0</v>
      </c>
      <c r="U133" s="14">
        <v>0</v>
      </c>
      <c r="V133" s="30">
        <f>SUM(Q133:U133)</f>
        <v>14</v>
      </c>
    </row>
    <row r="134" spans="15:22" x14ac:dyDescent="0.15">
      <c r="O134" s="35"/>
      <c r="P134" s="11" t="s">
        <v>26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30">
        <f>SUM(Q134:U134)</f>
        <v>0</v>
      </c>
    </row>
    <row r="135" spans="15:22" ht="14" thickBot="1" x14ac:dyDescent="0.2">
      <c r="O135" s="36"/>
      <c r="P135" s="17" t="s">
        <v>28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32">
        <f>SUM(Q135:U135)</f>
        <v>0</v>
      </c>
    </row>
    <row r="136" spans="15:22" x14ac:dyDescent="0.15">
      <c r="O136" s="33" t="s">
        <v>62</v>
      </c>
      <c r="P136" s="19" t="s">
        <v>22</v>
      </c>
      <c r="Q136" s="20">
        <v>5583723</v>
      </c>
      <c r="R136" s="20">
        <v>12902</v>
      </c>
      <c r="S136" s="20">
        <v>709</v>
      </c>
      <c r="T136" s="20">
        <v>351</v>
      </c>
      <c r="U136" s="20">
        <v>48</v>
      </c>
      <c r="V136" s="34">
        <f>SUM(Q136:U136)</f>
        <v>5597733</v>
      </c>
    </row>
    <row r="137" spans="15:22" x14ac:dyDescent="0.15">
      <c r="O137" s="35"/>
      <c r="P137" s="11" t="s">
        <v>24</v>
      </c>
      <c r="Q137" s="14">
        <v>20</v>
      </c>
      <c r="R137" s="14">
        <v>0</v>
      </c>
      <c r="S137" s="14">
        <v>0</v>
      </c>
      <c r="T137" s="14">
        <v>0</v>
      </c>
      <c r="U137" s="14">
        <v>1</v>
      </c>
      <c r="V137" s="30">
        <f>SUM(Q137:U137)</f>
        <v>21</v>
      </c>
    </row>
    <row r="138" spans="15:22" x14ac:dyDescent="0.15">
      <c r="O138" s="35"/>
      <c r="P138" s="11" t="s">
        <v>26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30">
        <f>SUM(Q138:U138)</f>
        <v>0</v>
      </c>
    </row>
    <row r="139" spans="15:22" ht="14" thickBot="1" x14ac:dyDescent="0.2">
      <c r="O139" s="36"/>
      <c r="P139" s="17" t="s">
        <v>28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32">
        <f>SUM(Q139:U139)</f>
        <v>0</v>
      </c>
    </row>
    <row r="140" spans="15:22" x14ac:dyDescent="0.15">
      <c r="O140" s="33" t="s">
        <v>63</v>
      </c>
      <c r="P140" s="19" t="s">
        <v>22</v>
      </c>
      <c r="Q140" s="20">
        <v>5752322</v>
      </c>
      <c r="R140" s="20">
        <v>12545</v>
      </c>
      <c r="S140" s="20">
        <v>637</v>
      </c>
      <c r="T140" s="20">
        <v>405</v>
      </c>
      <c r="U140" s="20">
        <v>65</v>
      </c>
      <c r="V140" s="34">
        <f>SUM(Q140:U140)</f>
        <v>5765974</v>
      </c>
    </row>
    <row r="141" spans="15:22" x14ac:dyDescent="0.15">
      <c r="O141" s="35"/>
      <c r="P141" s="11" t="s">
        <v>24</v>
      </c>
      <c r="Q141" s="14">
        <v>10</v>
      </c>
      <c r="R141" s="14">
        <v>0</v>
      </c>
      <c r="S141" s="14">
        <v>0</v>
      </c>
      <c r="T141" s="14">
        <v>0</v>
      </c>
      <c r="U141" s="14">
        <v>0</v>
      </c>
      <c r="V141" s="30">
        <f>SUM(Q141:U141)</f>
        <v>10</v>
      </c>
    </row>
    <row r="142" spans="15:22" x14ac:dyDescent="0.15">
      <c r="O142" s="35"/>
      <c r="P142" s="11" t="s">
        <v>26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30">
        <f>SUM(Q142:U142)</f>
        <v>0</v>
      </c>
    </row>
    <row r="143" spans="15:22" ht="14" thickBot="1" x14ac:dyDescent="0.2">
      <c r="O143" s="36"/>
      <c r="P143" s="17" t="s">
        <v>28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32">
        <f>SUM(Q143:U143)</f>
        <v>0</v>
      </c>
    </row>
    <row r="144" spans="15:22" x14ac:dyDescent="0.15">
      <c r="O144" s="33" t="s">
        <v>64</v>
      </c>
      <c r="P144" s="19" t="s">
        <v>22</v>
      </c>
      <c r="Q144" s="20">
        <v>5781911</v>
      </c>
      <c r="R144" s="20">
        <v>13463</v>
      </c>
      <c r="S144" s="20">
        <v>596</v>
      </c>
      <c r="T144" s="20">
        <v>353</v>
      </c>
      <c r="U144" s="20">
        <v>37</v>
      </c>
      <c r="V144" s="34">
        <f>SUM(Q144:U144)</f>
        <v>5796360</v>
      </c>
    </row>
    <row r="145" spans="15:22" x14ac:dyDescent="0.15">
      <c r="O145" s="35"/>
      <c r="P145" s="11" t="s">
        <v>24</v>
      </c>
      <c r="Q145" s="14">
        <v>21</v>
      </c>
      <c r="R145" s="14">
        <v>0</v>
      </c>
      <c r="S145" s="14">
        <v>0</v>
      </c>
      <c r="T145" s="14">
        <v>0</v>
      </c>
      <c r="U145" s="14">
        <v>2</v>
      </c>
      <c r="V145" s="30">
        <f>SUM(Q145:U145)</f>
        <v>23</v>
      </c>
    </row>
    <row r="146" spans="15:22" x14ac:dyDescent="0.15">
      <c r="O146" s="35"/>
      <c r="P146" s="11" t="s">
        <v>26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30">
        <f>SUM(Q146:U146)</f>
        <v>0</v>
      </c>
    </row>
    <row r="147" spans="15:22" ht="14" thickBot="1" x14ac:dyDescent="0.2">
      <c r="O147" s="36"/>
      <c r="P147" s="17" t="s">
        <v>28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32">
        <f>SUM(Q147:U147)</f>
        <v>0</v>
      </c>
    </row>
    <row r="148" spans="15:22" x14ac:dyDescent="0.15">
      <c r="O148" s="33" t="s">
        <v>65</v>
      </c>
      <c r="P148" s="19" t="s">
        <v>22</v>
      </c>
      <c r="Q148" s="20">
        <v>6188827</v>
      </c>
      <c r="R148" s="20">
        <v>12702</v>
      </c>
      <c r="S148" s="20">
        <v>758</v>
      </c>
      <c r="T148" s="20">
        <v>435</v>
      </c>
      <c r="U148" s="20">
        <v>2</v>
      </c>
      <c r="V148" s="34">
        <f>SUM(Q148:U148)</f>
        <v>6202724</v>
      </c>
    </row>
    <row r="149" spans="15:22" x14ac:dyDescent="0.15">
      <c r="O149" s="35"/>
      <c r="P149" s="11" t="s">
        <v>24</v>
      </c>
      <c r="Q149" s="14">
        <v>3</v>
      </c>
      <c r="R149" s="14">
        <v>0</v>
      </c>
      <c r="S149" s="14">
        <v>0</v>
      </c>
      <c r="T149" s="14">
        <v>0</v>
      </c>
      <c r="U149" s="14">
        <v>0</v>
      </c>
      <c r="V149" s="30">
        <f>SUM(Q149:U149)</f>
        <v>3</v>
      </c>
    </row>
    <row r="150" spans="15:22" x14ac:dyDescent="0.15">
      <c r="O150" s="35"/>
      <c r="P150" s="11" t="s">
        <v>26</v>
      </c>
      <c r="Q150" s="14">
        <v>1</v>
      </c>
      <c r="R150" s="14">
        <v>0</v>
      </c>
      <c r="S150" s="14">
        <v>0</v>
      </c>
      <c r="T150" s="14">
        <v>0</v>
      </c>
      <c r="U150" s="14">
        <v>0</v>
      </c>
      <c r="V150" s="30">
        <f>SUM(Q150:U150)</f>
        <v>1</v>
      </c>
    </row>
    <row r="151" spans="15:22" ht="14" thickBot="1" x14ac:dyDescent="0.2">
      <c r="O151" s="36"/>
      <c r="P151" s="17" t="s">
        <v>28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32">
        <f>SUM(Q151:U151)</f>
        <v>0</v>
      </c>
    </row>
    <row r="152" spans="15:22" x14ac:dyDescent="0.15">
      <c r="O152" s="33" t="s">
        <v>66</v>
      </c>
      <c r="P152" s="19" t="s">
        <v>22</v>
      </c>
      <c r="Q152" s="20">
        <v>5130532</v>
      </c>
      <c r="R152" s="20">
        <v>13351</v>
      </c>
      <c r="S152" s="20">
        <v>3755</v>
      </c>
      <c r="T152" s="20">
        <v>46</v>
      </c>
      <c r="U152" s="20">
        <v>131</v>
      </c>
      <c r="V152" s="34">
        <f>SUM(Q152:U152)</f>
        <v>5147815</v>
      </c>
    </row>
    <row r="153" spans="15:22" x14ac:dyDescent="0.15">
      <c r="O153" s="35"/>
      <c r="P153" s="11" t="s">
        <v>24</v>
      </c>
      <c r="Q153" s="14">
        <v>374</v>
      </c>
      <c r="R153" s="14">
        <v>2</v>
      </c>
      <c r="S153" s="14">
        <v>0</v>
      </c>
      <c r="T153" s="14">
        <v>0</v>
      </c>
      <c r="U153" s="14">
        <v>12</v>
      </c>
      <c r="V153" s="30">
        <f>SUM(Q153:U153)</f>
        <v>388</v>
      </c>
    </row>
    <row r="154" spans="15:22" x14ac:dyDescent="0.15">
      <c r="O154" s="35"/>
      <c r="P154" s="11" t="s">
        <v>26</v>
      </c>
      <c r="Q154" s="14">
        <v>9</v>
      </c>
      <c r="R154" s="14">
        <v>0</v>
      </c>
      <c r="S154" s="14">
        <v>0</v>
      </c>
      <c r="T154" s="14">
        <v>0</v>
      </c>
      <c r="U154" s="14">
        <v>0</v>
      </c>
      <c r="V154" s="30">
        <f>SUM(Q154:U154)</f>
        <v>9</v>
      </c>
    </row>
    <row r="155" spans="15:22" ht="14" thickBot="1" x14ac:dyDescent="0.2">
      <c r="O155" s="36"/>
      <c r="P155" s="17" t="s">
        <v>28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32">
        <f>SUM(Q155:U155)</f>
        <v>0</v>
      </c>
    </row>
    <row r="156" spans="15:22" x14ac:dyDescent="0.15">
      <c r="O156" s="33" t="s">
        <v>67</v>
      </c>
      <c r="P156" s="19" t="s">
        <v>22</v>
      </c>
      <c r="Q156" s="20">
        <v>5196214</v>
      </c>
      <c r="R156" s="20">
        <v>12751</v>
      </c>
      <c r="S156" s="20">
        <v>3488</v>
      </c>
      <c r="T156" s="20">
        <v>44</v>
      </c>
      <c r="U156" s="20">
        <v>259</v>
      </c>
      <c r="V156" s="34">
        <f>SUM(Q156:U156)</f>
        <v>5212756</v>
      </c>
    </row>
    <row r="157" spans="15:22" x14ac:dyDescent="0.15">
      <c r="O157" s="35"/>
      <c r="P157" s="11" t="s">
        <v>24</v>
      </c>
      <c r="Q157" s="14">
        <v>147</v>
      </c>
      <c r="R157" s="14">
        <v>2</v>
      </c>
      <c r="S157" s="14">
        <v>0</v>
      </c>
      <c r="T157" s="14">
        <v>0</v>
      </c>
      <c r="U157" s="14">
        <v>7</v>
      </c>
      <c r="V157" s="30">
        <f>SUM(Q157:U157)</f>
        <v>156</v>
      </c>
    </row>
    <row r="158" spans="15:22" x14ac:dyDescent="0.15">
      <c r="O158" s="35"/>
      <c r="P158" s="11" t="s">
        <v>26</v>
      </c>
      <c r="Q158" s="14">
        <v>32</v>
      </c>
      <c r="R158" s="14">
        <v>0</v>
      </c>
      <c r="S158" s="14">
        <v>0</v>
      </c>
      <c r="T158" s="14">
        <v>0</v>
      </c>
      <c r="U158" s="14">
        <v>1</v>
      </c>
      <c r="V158" s="30">
        <f>SUM(Q158:U158)</f>
        <v>33</v>
      </c>
    </row>
    <row r="159" spans="15:22" ht="14" thickBot="1" x14ac:dyDescent="0.2">
      <c r="O159" s="36"/>
      <c r="P159" s="17" t="s">
        <v>28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32">
        <f>SUM(Q159:U159)</f>
        <v>0</v>
      </c>
    </row>
    <row r="160" spans="15:22" x14ac:dyDescent="0.15">
      <c r="O160" s="33" t="s">
        <v>68</v>
      </c>
      <c r="P160" s="19" t="s">
        <v>22</v>
      </c>
      <c r="Q160" s="20">
        <v>5161777</v>
      </c>
      <c r="R160" s="20">
        <v>14290</v>
      </c>
      <c r="S160" s="20">
        <v>4166</v>
      </c>
      <c r="T160" s="20">
        <v>324</v>
      </c>
      <c r="U160" s="20">
        <v>42</v>
      </c>
      <c r="V160" s="34">
        <f>SUM(Q160:U160)</f>
        <v>5180599</v>
      </c>
    </row>
    <row r="161" spans="15:22" x14ac:dyDescent="0.15">
      <c r="O161" s="35"/>
      <c r="P161" s="11" t="s">
        <v>24</v>
      </c>
      <c r="Q161" s="14">
        <v>256</v>
      </c>
      <c r="R161" s="14">
        <v>0</v>
      </c>
      <c r="S161" s="14">
        <v>1</v>
      </c>
      <c r="T161" s="14">
        <v>0</v>
      </c>
      <c r="U161" s="14">
        <v>13</v>
      </c>
      <c r="V161" s="30">
        <f>SUM(Q161:U161)</f>
        <v>270</v>
      </c>
    </row>
    <row r="162" spans="15:22" x14ac:dyDescent="0.15">
      <c r="O162" s="35"/>
      <c r="P162" s="11" t="s">
        <v>26</v>
      </c>
      <c r="Q162" s="14">
        <v>11</v>
      </c>
      <c r="R162" s="14">
        <v>0</v>
      </c>
      <c r="S162" s="14">
        <v>0</v>
      </c>
      <c r="T162" s="14">
        <v>0</v>
      </c>
      <c r="U162" s="14">
        <v>0</v>
      </c>
      <c r="V162" s="30">
        <f>SUM(Q162:U162)</f>
        <v>11</v>
      </c>
    </row>
    <row r="163" spans="15:22" ht="14" thickBot="1" x14ac:dyDescent="0.2">
      <c r="O163" s="36"/>
      <c r="P163" s="17" t="s">
        <v>28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32">
        <f>SUM(Q163:U163)</f>
        <v>0</v>
      </c>
    </row>
    <row r="164" spans="15:22" x14ac:dyDescent="0.15">
      <c r="O164" s="33" t="s">
        <v>69</v>
      </c>
      <c r="P164" s="19" t="s">
        <v>22</v>
      </c>
      <c r="Q164" s="20">
        <v>225958</v>
      </c>
      <c r="R164" s="20">
        <v>4385</v>
      </c>
      <c r="S164" s="20">
        <v>3</v>
      </c>
      <c r="T164" s="20">
        <v>0</v>
      </c>
      <c r="U164" s="20">
        <v>0</v>
      </c>
      <c r="V164" s="34">
        <f>SUM(Q164:U164)</f>
        <v>230346</v>
      </c>
    </row>
    <row r="165" spans="15:22" x14ac:dyDescent="0.15">
      <c r="O165" s="35"/>
      <c r="P165" s="11" t="s">
        <v>24</v>
      </c>
      <c r="Q165" s="14">
        <v>1214</v>
      </c>
      <c r="R165" s="14">
        <v>4</v>
      </c>
      <c r="S165" s="14">
        <v>1</v>
      </c>
      <c r="T165" s="14">
        <v>1</v>
      </c>
      <c r="U165" s="14">
        <v>0</v>
      </c>
      <c r="V165" s="30">
        <f>SUM(Q165:U165)</f>
        <v>1220</v>
      </c>
    </row>
    <row r="166" spans="15:22" x14ac:dyDescent="0.15">
      <c r="O166" s="35"/>
      <c r="P166" s="11" t="s">
        <v>26</v>
      </c>
      <c r="Q166" s="14">
        <v>53</v>
      </c>
      <c r="R166" s="14">
        <v>0</v>
      </c>
      <c r="S166" s="14">
        <v>0</v>
      </c>
      <c r="T166" s="14">
        <v>0</v>
      </c>
      <c r="U166" s="14">
        <v>0</v>
      </c>
      <c r="V166" s="30">
        <f>SUM(Q166:U166)</f>
        <v>53</v>
      </c>
    </row>
    <row r="167" spans="15:22" ht="14" thickBot="1" x14ac:dyDescent="0.2">
      <c r="O167" s="36"/>
      <c r="P167" s="17" t="s">
        <v>28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32">
        <f>SUM(Q167:U167)</f>
        <v>0</v>
      </c>
    </row>
    <row r="168" spans="15:22" x14ac:dyDescent="0.15">
      <c r="O168" s="33" t="s">
        <v>70</v>
      </c>
      <c r="P168" s="19" t="s">
        <v>22</v>
      </c>
      <c r="Q168" s="20">
        <v>1124886</v>
      </c>
      <c r="R168" s="20">
        <v>287</v>
      </c>
      <c r="S168" s="20">
        <v>188</v>
      </c>
      <c r="T168" s="20">
        <v>5</v>
      </c>
      <c r="U168" s="20">
        <v>18</v>
      </c>
      <c r="V168" s="34">
        <f>SUM(Q168:U168)</f>
        <v>1125384</v>
      </c>
    </row>
    <row r="169" spans="15:22" x14ac:dyDescent="0.15">
      <c r="O169" s="35"/>
      <c r="P169" s="11" t="s">
        <v>24</v>
      </c>
      <c r="Q169" s="14">
        <v>347</v>
      </c>
      <c r="R169" s="14">
        <v>2</v>
      </c>
      <c r="S169" s="14">
        <v>2</v>
      </c>
      <c r="T169" s="14">
        <v>0</v>
      </c>
      <c r="U169" s="14">
        <v>7</v>
      </c>
      <c r="V169" s="30">
        <f>SUM(Q169:U169)</f>
        <v>358</v>
      </c>
    </row>
    <row r="170" spans="15:22" x14ac:dyDescent="0.15">
      <c r="O170" s="35"/>
      <c r="P170" s="11" t="s">
        <v>26</v>
      </c>
      <c r="Q170" s="14">
        <v>14</v>
      </c>
      <c r="R170" s="14">
        <v>0</v>
      </c>
      <c r="S170" s="14">
        <v>0</v>
      </c>
      <c r="T170" s="14">
        <v>0</v>
      </c>
      <c r="U170" s="14">
        <v>0</v>
      </c>
      <c r="V170" s="30">
        <f>SUM(Q170:U170)</f>
        <v>14</v>
      </c>
    </row>
    <row r="171" spans="15:22" ht="14" thickBot="1" x14ac:dyDescent="0.2">
      <c r="O171" s="36"/>
      <c r="P171" s="17" t="s">
        <v>28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32">
        <f>SUM(Q171:U171)</f>
        <v>0</v>
      </c>
    </row>
    <row r="172" spans="15:22" x14ac:dyDescent="0.15">
      <c r="O172" s="33" t="s">
        <v>71</v>
      </c>
      <c r="P172" s="19" t="s">
        <v>22</v>
      </c>
      <c r="Q172" s="20">
        <v>1147729</v>
      </c>
      <c r="R172" s="20">
        <v>301</v>
      </c>
      <c r="S172" s="20">
        <v>191</v>
      </c>
      <c r="T172" s="20">
        <v>2</v>
      </c>
      <c r="U172" s="20">
        <v>12</v>
      </c>
      <c r="V172" s="34">
        <f>SUM(Q172:U172)</f>
        <v>1148235</v>
      </c>
    </row>
    <row r="173" spans="15:22" x14ac:dyDescent="0.15">
      <c r="O173" s="35"/>
      <c r="P173" s="11" t="s">
        <v>24</v>
      </c>
      <c r="Q173" s="14">
        <v>251</v>
      </c>
      <c r="R173" s="14">
        <v>0</v>
      </c>
      <c r="S173" s="14">
        <v>0</v>
      </c>
      <c r="T173" s="14">
        <v>0</v>
      </c>
      <c r="U173" s="14">
        <v>5</v>
      </c>
      <c r="V173" s="30">
        <f>SUM(Q173:U173)</f>
        <v>256</v>
      </c>
    </row>
    <row r="174" spans="15:22" x14ac:dyDescent="0.15">
      <c r="O174" s="35"/>
      <c r="P174" s="11" t="s">
        <v>26</v>
      </c>
      <c r="Q174" s="14">
        <v>20</v>
      </c>
      <c r="R174" s="14">
        <v>0</v>
      </c>
      <c r="S174" s="14">
        <v>0</v>
      </c>
      <c r="T174" s="14">
        <v>0</v>
      </c>
      <c r="U174" s="14">
        <v>2</v>
      </c>
      <c r="V174" s="30">
        <f>SUM(Q174:U174)</f>
        <v>22</v>
      </c>
    </row>
    <row r="175" spans="15:22" ht="14" thickBot="1" x14ac:dyDescent="0.2">
      <c r="O175" s="36"/>
      <c r="P175" s="17" t="s">
        <v>28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32">
        <f>SUM(Q175:U175)</f>
        <v>0</v>
      </c>
    </row>
    <row r="176" spans="15:22" x14ac:dyDescent="0.15">
      <c r="O176" s="35" t="s">
        <v>72</v>
      </c>
      <c r="P176" s="16" t="s">
        <v>22</v>
      </c>
      <c r="Q176" s="15">
        <v>695841</v>
      </c>
      <c r="R176" s="15">
        <v>2940</v>
      </c>
      <c r="S176" s="15">
        <v>2</v>
      </c>
      <c r="T176" s="15">
        <v>0</v>
      </c>
      <c r="U176" s="15">
        <v>0</v>
      </c>
      <c r="V176" s="28">
        <f>SUM(Q176:U176)</f>
        <v>698783</v>
      </c>
    </row>
    <row r="177" spans="15:22" x14ac:dyDescent="0.15">
      <c r="O177" s="35"/>
      <c r="P177" s="11" t="s">
        <v>24</v>
      </c>
      <c r="Q177" s="14">
        <v>204</v>
      </c>
      <c r="R177" s="14">
        <v>0</v>
      </c>
      <c r="S177" s="14">
        <v>0</v>
      </c>
      <c r="T177" s="14">
        <v>0</v>
      </c>
      <c r="U177" s="14">
        <v>0</v>
      </c>
      <c r="V177" s="30">
        <f>SUM(Q177:U177)</f>
        <v>204</v>
      </c>
    </row>
    <row r="178" spans="15:22" x14ac:dyDescent="0.15">
      <c r="O178" s="35"/>
      <c r="P178" s="11" t="s">
        <v>26</v>
      </c>
      <c r="Q178" s="14">
        <v>2</v>
      </c>
      <c r="R178" s="14">
        <v>0</v>
      </c>
      <c r="S178" s="14">
        <v>0</v>
      </c>
      <c r="T178" s="14">
        <v>0</v>
      </c>
      <c r="U178" s="14">
        <v>0</v>
      </c>
      <c r="V178" s="30">
        <f>SUM(Q178:U178)</f>
        <v>2</v>
      </c>
    </row>
    <row r="179" spans="15:22" ht="14" thickBot="1" x14ac:dyDescent="0.2">
      <c r="O179" s="36"/>
      <c r="P179" s="17" t="s">
        <v>28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32">
        <f>SUM(Q179:U179)</f>
        <v>0</v>
      </c>
    </row>
  </sheetData>
  <mergeCells count="48">
    <mergeCell ref="O176:O179"/>
    <mergeCell ref="Q6:V6"/>
    <mergeCell ref="O156:O159"/>
    <mergeCell ref="O160:O163"/>
    <mergeCell ref="O164:O167"/>
    <mergeCell ref="O168:O171"/>
    <mergeCell ref="O172:O175"/>
    <mergeCell ref="O136:O139"/>
    <mergeCell ref="O140:O143"/>
    <mergeCell ref="O144:O147"/>
    <mergeCell ref="O148:O151"/>
    <mergeCell ref="O152:O155"/>
    <mergeCell ref="O116:O119"/>
    <mergeCell ref="O120:O123"/>
    <mergeCell ref="O124:O127"/>
    <mergeCell ref="O128:O131"/>
    <mergeCell ref="O132:O135"/>
    <mergeCell ref="O96:O99"/>
    <mergeCell ref="O100:O103"/>
    <mergeCell ref="O104:O107"/>
    <mergeCell ref="O108:O111"/>
    <mergeCell ref="O112:O115"/>
    <mergeCell ref="O76:O79"/>
    <mergeCell ref="O80:O83"/>
    <mergeCell ref="O84:O87"/>
    <mergeCell ref="O88:O91"/>
    <mergeCell ref="O92:O95"/>
    <mergeCell ref="O56:O59"/>
    <mergeCell ref="O60:O63"/>
    <mergeCell ref="O64:O67"/>
    <mergeCell ref="O68:O71"/>
    <mergeCell ref="O72:O75"/>
    <mergeCell ref="O36:O39"/>
    <mergeCell ref="O40:O43"/>
    <mergeCell ref="O44:O47"/>
    <mergeCell ref="O48:O51"/>
    <mergeCell ref="O52:O55"/>
    <mergeCell ref="O16:O19"/>
    <mergeCell ref="O20:O23"/>
    <mergeCell ref="O24:O27"/>
    <mergeCell ref="O28:O31"/>
    <mergeCell ref="O32:O35"/>
    <mergeCell ref="B1:U1"/>
    <mergeCell ref="B8:B15"/>
    <mergeCell ref="C8:C11"/>
    <mergeCell ref="O8:O11"/>
    <mergeCell ref="C12:C15"/>
    <mergeCell ref="O12:O1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AHMED, TALHA (Student)</cp:lastModifiedBy>
  <cp:revision>10</cp:revision>
  <dcterms:created xsi:type="dcterms:W3CDTF">2026-03-18T12:30:52Z</dcterms:created>
  <dcterms:modified xsi:type="dcterms:W3CDTF">2026-04-08T08:34:13Z</dcterms:modified>
  <dc:language>en-US</dc:language>
</cp:coreProperties>
</file>